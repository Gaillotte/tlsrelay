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  <sheet name="Summary" sheetId="2" state="visible" r:id="rId4"/>
    <sheet name="Legend" sheetId="3" state="visible" r:id="rId5"/>
  </sheets>
  <definedNames>
    <definedName function="false" hidden="false" localSheetId="0" name="_xlnm.Print_Titles" vbProcedure="false">Requirements!$4:$4</definedName>
    <definedName function="false" hidden="true" localSheetId="0" name="_xlnm._FilterDatabase" vbProcedure="false">Requirements!$A$4:$I$95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<sst xmlns="http://schemas.openxmlformats.org/spreadsheetml/2006/main" count="877" uniqueCount="494">
  <si>
    <t xml:space="preserve">tlsrelay — Requirements and how they are covered</t>
  </si>
  <si>
    <t xml:space="preserve">Source: docs/SPEC.md §11 (requirements) and docs/TESTS.md §4 (coverage). Releases: 1.0 = relay service, 1.1 = tlsrelay-admin editor.</t>
  </si>
  <si>
    <t xml:space="preserve">ID</t>
  </si>
  <si>
    <t xml:space="preserve">Group</t>
  </si>
  <si>
    <t xml:space="preserve">Requirement</t>
  </si>
  <si>
    <t xml:space="preserve">Release</t>
  </si>
  <si>
    <t xml:space="preserve">Spec ref.</t>
  </si>
  <si>
    <t xml:space="preserve">How it is covered (in a few words)</t>
  </si>
  <si>
    <t xml:space="preserve">Coverage status</t>
  </si>
  <si>
    <t xml:space="preserve">Automated tests (detail)</t>
  </si>
  <si>
    <t xml:space="preserve">Acceptance / manual checks</t>
  </si>
  <si>
    <t xml:space="preserve">GEN-01</t>
  </si>
  <si>
    <t xml:space="preserve">General and platforms</t>
  </si>
  <si>
    <t xml:space="preserve">Runs on Windows 10, 11 and Server 2019 or later (64-bit) and on Linux: Ubuntu 22.04 and 24.04, Debian 12, RHEL 9 and equivalents</t>
  </si>
  <si>
    <t xml:space="preserve">1.0</t>
  </si>
  <si>
    <t xml:space="preserve">PLAN §2</t>
  </si>
  <si>
    <t xml:space="preserve">Built and tested in CI on Windows (MSVC) and Linux (GCC, Clang); packages installed on 5 Linux distributions; cross-platform acceptance test.</t>
  </si>
  <si>
    <t xml:space="preserve">Auto + manual</t>
  </si>
  <si>
    <t xml:space="preserve">Windows MSVC and Linux jobs; package install on 5 distributions</t>
  </si>
  <si>
    <t xml:space="preserve">R13</t>
  </si>
  <si>
    <t xml:space="preserve">GEN-02</t>
  </si>
  <si>
    <t xml:space="preserve">OpenSSL 3.0 or later, dynamically linked; OpenSSL 3.5 LTS shipped on Windows; version checked and logged at startup</t>
  </si>
  <si>
    <t xml:space="preserve">§10.3</t>
  </si>
  <si>
    <t xml:space="preserve">CI job builds against OpenSSL 3.5 LTS; Windows CI checks the bundled version; startup log checked in acceptance.</t>
  </si>
  <si>
    <t xml:space="preserve">Auto</t>
  </si>
  <si>
    <t xml:space="preserve">OpenSSL 3.5 job; Windows version check; check-deps.sh</t>
  </si>
  <si>
    <t xml:space="preserve">R02, M08</t>
  </si>
  <si>
    <t xml:space="preserve">GEN-03</t>
  </si>
  <si>
    <t xml:space="preserve">Works as a pair: one client tlsrelay and one server tlsrelay; the peer is always a tlsrelay (tunnel protocol and ALPN mandatory)</t>
  </si>
  <si>
    <t xml:space="preserve">§2, §3</t>
  </si>
  <si>
    <t xml:space="preserve">Tests show a server refuses a peer without the tlsrelay ALPN, and a client refuses a non-tlsrelay server.</t>
  </si>
  <si>
    <t xml:space="preserve">TlsTest.ServerRejectsMissingAlpn, AttackTest.ClientSendsNothingToValidFakeServerWithoutTunnelProtocol</t>
  </si>
  <si>
    <t xml:space="preserve">None</t>
  </si>
  <si>
    <t xml:space="preserve">GEN-04</t>
  </si>
  <si>
    <t xml:space="preserve">Three ports per instance: plain (plaintext), tls (TLS 1.3), mtls (mutual TLS 1.3); a port absent from the configuration is not opened</t>
  </si>
  <si>
    <t xml:space="preserve">§2, §8</t>
  </si>
  <si>
    <t xml:space="preserve">End-to-end tests send data through each of the 3 ports and verify integrity; config without ports is refused.</t>
  </si>
  <si>
    <t xml:space="preserve">Relay.PlainChainPreservesDataIntegrity, TlsTest.ChainPreservesDataIntegrity, MtlsTest.ChainPreservesDataIntegrity, Validate.RequiresAtLeastOnePort</t>
  </si>
  <si>
    <t xml:space="preserve">R03</t>
  </si>
  <si>
    <t xml:space="preserve">GEN-05</t>
  </si>
  <si>
    <t xml:space="preserve">Server mode: plaintext output to a single destination (configurable address and port); client mode: plaintext input from the application</t>
  </si>
  <si>
    <t xml:space="preserve">Relay tests run client and server modes to one destination; config loading tests for both modes.</t>
  </si>
  <si>
    <t xml:space="preserve">Relay.*, Config.LoadsValidClient, Config.LoadsValidServerWithDefaults</t>
  </si>
  <si>
    <t xml:space="preserve">TLS-01</t>
  </si>
  <si>
    <t xml:space="preserve">TLS</t>
  </si>
  <si>
    <t xml:space="preserve">TLS 1.3 only on the tls and mtls ports: TLS 1.2 and plaintext are refused</t>
  </si>
  <si>
    <t xml:space="preserve">§3</t>
  </si>
  <si>
    <t xml:space="preserve">Tests confirm TLS 1.2 and plaintext are refused on TLS ports; external scanners (sslyze, testssl.sh) confirm in CI.</t>
  </si>
  <si>
    <t xml:space="preserve">TlsTest.ServerRejectsTls12, TlsTest.ServerRejectsPlaintextOnTlsPort, TlsTest.ServerNegotiatesTls13WithAlpn, tls-scan.sh</t>
  </si>
  <si>
    <t xml:space="preserve">TLS-02</t>
  </si>
  <si>
    <t xml:space="preserve">Only the cipher suites and groups of section 3</t>
  </si>
  <si>
    <t xml:space="preserve">External TLS scanners in CI list the offered suites and groups and fail on anything not allowed.</t>
  </si>
  <si>
    <t xml:space="preserve">tls-scan.sh (sslyze, testssl.sh)</t>
  </si>
  <si>
    <t xml:space="preserve">TLS-03</t>
  </si>
  <si>
    <t xml:space="preserve">ALPN tlsrelay/1 mandatory</t>
  </si>
  <si>
    <t xml:space="preserve">Tests check ALPN is negotiated and that a missing or wrong ALPN is refused.</t>
  </si>
  <si>
    <t xml:space="preserve">TlsTest.ServerNegotiatesTls13WithAlpn, TlsTest.ServerRejectsMissingAlpn, TlsTest.ServerRejectsWrongAlpn</t>
  </si>
  <si>
    <t xml:space="preserve">TLS-04</t>
  </si>
  <si>
    <t xml:space="preserve">No TLS session resumption: full handshake on every transport connection</t>
  </si>
  <si>
    <t xml:space="preserve">External TLS scan in CI confirms no session ticket or resumption is offered.</t>
  </si>
  <si>
    <t xml:space="preserve">tls-scan.sh</t>
  </si>
  <si>
    <t xml:space="preserve">TLS-05</t>
  </si>
  <si>
    <t xml:space="preserve">The client verifies the server's chain up to a trusted root, the expected name or IP address, and the issuing CA (Servers CA)</t>
  </si>
  <si>
    <t xml:space="preserve">Negative tests: server from another PKI, wrong name, wrong issuing CA, client cert used as server cert — all refused.</t>
  </si>
  <si>
    <t xml:space="preserve">TlsTest.ClientRejectsServerFromAnotherPki, …WrongServerName, …AcceptsIpAddressAsServerName, …ServerCertificateFromUnexpectedCa, AttackTest.ClientRejectsServerPresentingClientCertificate, IpLiteral.RecognisesAddresses</t>
  </si>
  <si>
    <t xml:space="preserve">TLS-06</t>
  </si>
  <si>
    <t xml:space="preserve">On the mtls port the server requires a client certificate issued by the Clients CA, with the clientAuth purpose</t>
  </si>
  <si>
    <t xml:space="preserve">Negative tests: no client certificate, wrong CA, server certificate used as client — all refused on mTLS.</t>
  </si>
  <si>
    <t xml:space="preserve">MtlsTest.ServerRejectsClientWithoutCertificate, …ClientCertificateFromUnexpectedCa, …ServerCertificateUsedAsClientCertificate</t>
  </si>
  <si>
    <t xml:space="preserve">TLS-07</t>
  </si>
  <si>
    <t xml:space="preserve">Expired or not-yet-valid certificates refused, on both sides</t>
  </si>
  <si>
    <t xml:space="preserve">§3, §7.3</t>
  </si>
  <si>
    <t xml:space="preserve">Attack tests with expired and not-yet-valid certificates on both sides; PKI validation test.</t>
  </si>
  <si>
    <t xml:space="preserve">AttackTest.*Expired*, AttackTest.*NotYetValid* (4 tests), PkiTest.RejectsExpiredAndNotYetValidCertificates</t>
  </si>
  <si>
    <t xml:space="preserve">TLS-08</t>
  </si>
  <si>
    <t xml:space="preserve">A connection that does not complete its handshake within handshake_timeout is closed; a flood of silent connections stays bounded</t>
  </si>
  <si>
    <t xml:space="preserve">§5.2</t>
  </si>
  <si>
    <t xml:space="preserve">Test closes a silent connection at the timeout; flood test shows resources stay bounded and recover.</t>
  </si>
  <si>
    <t xml:space="preserve">TlsTest.HandshakeTimeoutClosesSilentConnection, AttackTest.ConnectionFloodWithoutHandshakeIsBoundedAndRecovers</t>
  </si>
  <si>
    <t xml:space="preserve">TUN-01</t>
  </si>
  <si>
    <t xml:space="preserve">Tunnel protocol</t>
  </si>
  <si>
    <t xml:space="preserve">Frames as in 4.1 and 4.2; unknown frame, non-zero reserved field, inconsistent size or size above 16 KiB + 64 bytes: close</t>
  </si>
  <si>
    <t xml:space="preserve">§4.1, §4.2</t>
  </si>
  <si>
    <t xml:space="preserve">Unit tests for every frame type and invalid case, plus continuous fuzzing of the frame decoder.</t>
  </si>
  <si>
    <t xml:space="preserve">Frame.* (9 tests), TunnelTest.InvalidFrameClosesChannelWithProtocolError, AttackTest.OversizedFrameHeaderClosesChannelBeforePayload, fuzz_frame, Frame.NamesOfEveryTypeAndCode, Frame.RejectsWrongSizeForEachType, Frame.DecoderCompactsLargeBuffers</t>
  </si>
  <si>
    <t xml:space="preserve">TUN-02</t>
  </si>
  <si>
    <t xml:space="preserve">Opening with OPEN / OPEN_OK / OPEN_FAIL; application data read before OPEN_OK is buffered</t>
  </si>
  <si>
    <t xml:space="preserve">§4.3</t>
  </si>
  <si>
    <t xml:space="preserve">Tunnel tests cover open success and failure, and that early application data is buffered, not lost.</t>
  </si>
  <si>
    <t xml:space="preserve">TunnelTest.OpenIsRefusedForAnotherPortOrDuplicateSession, AttackTest.DataBeforeOpenIsRefused, Frame.RejectsUnknownPortKindInOpen</t>
  </si>
  <si>
    <t xml:space="preserve">TUN-03</t>
  </si>
  <si>
    <t xml:space="preserve">DATA numbered per direction, cumulative acknowledgements; an out-of-sequence DATA is a protocol error</t>
  </si>
  <si>
    <t xml:space="preserve">§4.4</t>
  </si>
  <si>
    <t xml:space="preserve">Tunnel tests check sequence numbers and acknowledgements; out-of-order data closes with a protocol error.</t>
  </si>
  <si>
    <t xml:space="preserve">AttackTest.DataWithUnexpectedSequenceClosesChannel; integrity hashes of every chain test</t>
  </si>
  <si>
    <t xml:space="preserve">TUN-04</t>
  </si>
  <si>
    <t xml:space="preserve">Back-pressure without loss, within resume_buffer per direction and per channel</t>
  </si>
  <si>
    <t xml:space="preserve">Back-pressure tests with slow application and destination: no data loss, buffers stay within limits.</t>
  </si>
  <si>
    <t xml:space="preserve">TunnelTest.SmallResumeBufferAppliesBackpressureWithoutLoss</t>
  </si>
  <si>
    <t xml:space="preserve">TUN-05</t>
  </si>
  <si>
    <t xml:space="preserve">Reading the transport connection does not depend on the speed of the application or the destination</t>
  </si>
  <si>
    <t xml:space="preserve">Test with a stalled destination shows the transport connection is still read (pings and acks keep flowing).</t>
  </si>
  <si>
    <t xml:space="preserve">TunnelTest.SlowDestinationDoesNotStallAcknowledgements, TunnelTest.KeepaliveToleratesApplicationNotReading</t>
  </si>
  <si>
    <t xml:space="preserve">TUN-06</t>
  </si>
  <si>
    <t xml:space="preserve">Transparent renegotiation at session_lifetime × (1 ± session_jitter): new connection, full handshake with the current PKI generation, without a cut or loss</t>
  </si>
  <si>
    <t xml:space="preserve">§4.5</t>
  </si>
  <si>
    <t xml:space="preserve">Tests force short session lifetimes and verify renegotiation on a new connection with no data cut; acceptance R07.</t>
  </si>
  <si>
    <t xml:space="preserve">TunnelTest.RenegotiationIsTransparentUnderLoad, TunnelTest.RenegotiationMovesOpenChannelToNewGeneration</t>
  </si>
  <si>
    <t xml:space="preserve">R07</t>
  </si>
  <si>
    <t xml:space="preserve">TUN-07</t>
  </si>
  <si>
    <t xml:space="preserve">Resumption with a token derived from the TLS exporter of the previous connection, single-use, compared in constant time; same whitelist entry required</t>
  </si>
  <si>
    <t xml:space="preserve">Tests check resumption tokens are single-use, bound to the old connection, and refused for another peer.</t>
  </si>
  <si>
    <t xml:space="preserve">TunnelTest.ResumeTokenIsBoundToConnectionAndSingleUse</t>
  </si>
  <si>
    <t xml:space="preserve">TUN-08</t>
  </si>
  <si>
    <t xml:space="preserve">The server closes a session that is not renegotiated within the grace period (LIFETIME_EXCEEDED)</t>
  </si>
  <si>
    <t xml:space="preserve">Test lets a session exceed its lifetime plus grace and checks the server closes it with LIFETIME_EXCEEDED.</t>
  </si>
  <si>
    <t xml:space="preserve">TunnelTest.ServerClosesSessionThatIsNotRenegotiated</t>
  </si>
  <si>
    <t xml:space="preserve">TUN-09</t>
  </si>
  <si>
    <t xml:space="preserve">Session resumption after a cut, within renegotiation_grace, without loss or duplication</t>
  </si>
  <si>
    <t xml:space="preserve">Cut-proxy tests reset connections mid-stream; session resumes with no loss or duplication; acceptance R06.</t>
  </si>
  <si>
    <t xml:space="preserve">TunnelTest.SessionResumesAfterTransportLoss, TunnelTest.ServerWaitsForResumeOnlyDuringGrace</t>
  </si>
  <si>
    <t xml:space="preserve">R06</t>
  </si>
  <si>
    <t xml:space="preserve">TUN-10</t>
  </si>
  <si>
    <t xml:space="preserve">Cut before OPEN_OK, including during the handshake: tunnel reopened on a new connection, without loss</t>
  </si>
  <si>
    <t xml:space="preserve">Tests cut the link during handshake and before OPEN_OK; tunnel reopens with no loss.</t>
  </si>
  <si>
    <t xml:space="preserve">TunnelTest.TransportLossBeforeOpenOkReopensTunnel, TunnelTest.TransportLossDuringHandshakeReopensTunnel</t>
  </si>
  <si>
    <t xml:space="preserve">TUN-11</t>
  </si>
  <si>
    <t xml:space="preserve">PING / PONG: a silent link is detected after 3 keepalive_intervals; resumption on the tls and mtls ports, close on the plain port</t>
  </si>
  <si>
    <t xml:space="preserve">§4.2</t>
  </si>
  <si>
    <t xml:space="preserve">Silent-link tests: detected after 3 keepalive intervals; resumed on TLS ports, closed on plain port.</t>
  </si>
  <si>
    <t xml:space="preserve">TunnelTest.SilentTransportIsDetectedByKeepaliveAndResumed, TunnelTest.SilentPlainTransportClosesChannel, TunnelTest.KeepaliveToleratesApplicationNotReading</t>
  </si>
  <si>
    <t xml:space="preserve">TUN-12</t>
  </si>
  <si>
    <t xml:space="preserve">plain port: no lifetime and no resumption; a cut closes the channel</t>
  </si>
  <si>
    <t xml:space="preserve">Test cuts a plain-port channel and verifies it is closed, not resumed.</t>
  </si>
  <si>
    <t xml:space="preserve">TunnelTest.PlainTransportLossClosesChannel, TunnelTest.SilentPlainTransportClosesChannel</t>
  </si>
  <si>
    <t xml:space="preserve">TUN-13</t>
  </si>
  <si>
    <t xml:space="preserve">Half-close propagated end to end, the other direction continuing</t>
  </si>
  <si>
    <t xml:space="preserve">§4.6</t>
  </si>
  <si>
    <t xml:space="preserve">Test closes one direction and checks the other keeps flowing end to end.</t>
  </si>
  <si>
    <t xml:space="preserve">Relay.HalfClosePropagatesThroughTheChain, TlsTest.HalfClosePropagatesOverTls</t>
  </si>
  <si>
    <t xml:space="preserve">TUN-14</t>
  </si>
  <si>
    <t xml:space="preserve">CLOSE and OPEN_FAIL messages from the peer truncated and escaped</t>
  </si>
  <si>
    <t xml:space="preserve">Tests send oversized and control-character CLOSE/OPEN_FAIL messages and check truncation and escaping.</t>
  </si>
  <si>
    <t xml:space="preserve">Frame.StatusMessageIsTruncated, Frame.StatusMessageControlCharactersAreEscaped, AttackTest.PeerMessageCannotInjectLogLines</t>
  </si>
  <si>
    <t xml:space="preserve">CAN-01</t>
  </si>
  <si>
    <t xml:space="preserve">Channels and timers</t>
  </si>
  <si>
    <t xml:space="preserve">Several channels in parallel per port, one tunnel session per channel</t>
  </si>
  <si>
    <t xml:space="preserve">§5</t>
  </si>
  <si>
    <t xml:space="preserve">Tests open many parallel channels per port, each with its own session; acceptance R03 with 50 channels.</t>
  </si>
  <si>
    <t xml:space="preserve">Relay.ManyChannelsInParallel, TlsTest.ManyChannelsInParallel, perf.sh</t>
  </si>
  <si>
    <t xml:space="preserve">CAN-02</t>
  </si>
  <si>
    <t xml:space="preserve">max_channels per port: extra connections are refused</t>
  </si>
  <si>
    <t xml:space="preserve">Test opens more than max_channels and checks extra connections are refused.</t>
  </si>
  <si>
    <t xml:space="preserve">Relay.MaxChannelsRejectsExtraConnections</t>
  </si>
  <si>
    <t xml:space="preserve">CAN-03</t>
  </si>
  <si>
    <t xml:space="preserve">idle_timeout on all three ports; only application data pushes the deadline back</t>
  </si>
  <si>
    <t xml:space="preserve">§5.3</t>
  </si>
  <si>
    <t xml:space="preserve">Tests check an idle channel closes at the timeout and that application traffic keeps it open.</t>
  </si>
  <si>
    <t xml:space="preserve">Relay.IdleTimeoutClosesChannel, Relay.ActivityKeepsChannelOpen</t>
  </si>
  <si>
    <t xml:space="preserve">CAN-04</t>
  </si>
  <si>
    <t xml:space="preserve">Connection to the destination: dial_retries attempts (3 by default) limited by dial_timeout, wait doubled; then OPEN_FAIL(DEST_UNREACHABLE)</t>
  </si>
  <si>
    <t xml:space="preserve">§5.4</t>
  </si>
  <si>
    <t xml:space="preserve">Tests with an unreachable destination check retries, timeout, backoff and OPEN_FAIL.</t>
  </si>
  <si>
    <t xml:space="preserve">Relay.DestinationUnreachableAfterThreeAttempts, Relay.DestinationRetrySucceeds, Validate.DestinationRules</t>
  </si>
  <si>
    <t xml:space="preserve">CAN-05</t>
  </si>
  <si>
    <t xml:space="preserve">Timer consistency: idle_timeout &lt; session_lifetime, renegotiation_grace &lt; session_lifetime / 2, session_jitter ≤ 50 %</t>
  </si>
  <si>
    <t xml:space="preserve">Configuration validation tests reject inconsistent timer values.</t>
  </si>
  <si>
    <t xml:space="preserve">Validate.LimitsCoherence, Validate.EveryLimitBound</t>
  </si>
  <si>
    <t xml:space="preserve">WL-01</t>
  </si>
  <si>
    <t xml:space="preserve">Whitelist</t>
  </si>
  <si>
    <t xml:space="preserve">File strictly validated: known keys, unique names and subjects, IP or CIDR, DN; empty list accepted with a warning</t>
  </si>
  <si>
    <t xml:space="preserve">§6.1, §6.2</t>
  </si>
  <si>
    <t xml:space="preserve">Unit tests on whitelist parsing: unknown keys, duplicates, bad IP/CIDR/DN refused; fuzzed in CI.</t>
  </si>
  <si>
    <t xml:space="preserve">Whitelist.LoadsEntriesWithDefaults, …ReportsFormatErrors, …RejectsSameSubjectTwice, …RequiresPeersSection, …EmptyListIsValidWithWarning, fuzz_whitelist, fuzz_dn, Whitelist.StructureErrors, Whitelist.MissingFileIsReported, Admin.CheckWhitelist</t>
  </si>
  <si>
    <t xml:space="preserve">WL-02</t>
  </si>
  <si>
    <t xml:space="preserve">Address checked on TCP accept, before any handshake, for the requested port</t>
  </si>
  <si>
    <t xml:space="preserve">§6.2</t>
  </si>
  <si>
    <t xml:space="preserve">Test shows a non-listed address is dropped at TCP accept, before any TLS handshake.</t>
  </si>
  <si>
    <t xml:space="preserve">MtlsTest.UnknownAddressIsRejectedBeforeHandshake, MtlsTest.PeerIsLimitedToItsPorts, Whitelist.AuthorizesByIpAndPort, IpRange.MatchesAddresses</t>
  </si>
  <si>
    <t xml:space="preserve">WL-03</t>
  </si>
  <si>
    <t xml:space="preserve">mtls port: certificate subject and address in the same entry; canonical DN comparison</t>
  </si>
  <si>
    <t xml:space="preserve">mTLS tests require subject and address in the same entry; DN comparison tests.</t>
  </si>
  <si>
    <t xml:space="preserve">MtlsTest.WhitelistRequiresIpAndSubjectInTheSameEntry, MtlsTest.WhitelistRejectsUnknownSubjectBeforeContactingDestination, Whitelist.MtlsRequiresIpAndSubjectInTheSameEntry, Dn.ParsesEscapesAndMatchesCertificateForm</t>
  </si>
  <si>
    <t xml:space="preserve">WL-04</t>
  </si>
  <si>
    <t xml:space="preserve">Hot reload (2 s watch, reload); invalid file refused, list in force kept; additions, removals and changes logged</t>
  </si>
  <si>
    <t xml:space="preserve">Hot-reload tests (file watch and reload command), invalid file kept out; acceptance R05.</t>
  </si>
  <si>
    <t xml:space="preserve">MtlsTest.ReloadAddsPeer, MtlsTest.InvalidReloadKeepsCurrentList, Whitelist.DiffReportsChanges</t>
  </si>
  <si>
    <t xml:space="preserve">R05, E04</t>
  </si>
  <si>
    <t xml:space="preserve">WL-05</t>
  </si>
  <si>
    <t xml:space="preserve">Removed peer: its channels are closed (PEER_REVOKED), or refused at the next renegotiation with revoke_mode: next_renegotiation</t>
  </si>
  <si>
    <t xml:space="preserve">Tests remove a peer and check its channels close, or are refused at next renegotiation per setting.</t>
  </si>
  <si>
    <t xml:space="preserve">MtlsTest.ReloadRevokesActiveChannelOfRemovedPeer, MtlsTest.ReloadWithNextRenegotiationKeepsActiveChannel</t>
  </si>
  <si>
    <t xml:space="preserve">WL-06</t>
  </si>
  <si>
    <t xml:space="preserve">Invalid whitelist at startup: the service does not start</t>
  </si>
  <si>
    <t xml:space="preserve">Startup test with an invalid whitelist: the service refuses to start.</t>
  </si>
  <si>
    <t xml:space="preserve">MtlsTest.ServiceRefusesInvalidWhitelistAtStartup</t>
  </si>
  <si>
    <t xml:space="preserve">PKI-01</t>
  </si>
  <si>
    <t xml:space="preserve">Instance PKI</t>
  </si>
  <si>
    <t xml:space="preserve">Hierarchy: P-384 root, Servers CA and Clients CA (pathlen:0, role purpose), P-256 instance certificates</t>
  </si>
  <si>
    <t xml:space="preserve">§7.1</t>
  </si>
  <si>
    <t xml:space="preserve">Tests generate the full CA hierarchy and check key types, constraints and purposes; acceptance R01.</t>
  </si>
  <si>
    <t xml:space="preserve">CaTest.InitCreatesHierarchyWithEncryptedKeys, CaTest.ProvisionedPkiCarriesAnMtlsChain, pki.sh</t>
  </si>
  <si>
    <t xml:space="preserve">R01</t>
  </si>
  <si>
    <t xml:space="preserve">PKI-02</t>
  </si>
  <si>
    <t xml:space="preserve">Versioned generations; current replaced by atomic rename</t>
  </si>
  <si>
    <t xml:space="preserve">§7.2</t>
  </si>
  <si>
    <t xml:space="preserve">Tests create generations and check 'current' is switched atomically.</t>
  </si>
  <si>
    <t xml:space="preserve">PkiTest.ActivateReplacesCurrentPointer, PkiTest.RejectsMissingOrInvalidPointer, PkiTest.LoadsServerGeneration</t>
  </si>
  <si>
    <t xml:space="preserve">PKI-03</t>
  </si>
  <si>
    <t xml:space="preserve">Full validation of a generation before switching: files, key and certificate, chain, CA constraints, dates, role purpose; expiry warning</t>
  </si>
  <si>
    <t xml:space="preserve">§7.3</t>
  </si>
  <si>
    <t xml:space="preserve">Tests feed broken generations (missing file, key mismatch, bad chain, dates) and check refusal.</t>
  </si>
  <si>
    <t xml:space="preserve">PkiTest.* (13 tests), PkiRequirements.DependOnModeAndPorts</t>
  </si>
  <si>
    <t xml:space="preserve">PKI-04</t>
  </si>
  <si>
    <t xml:space="preserve">Instance key generated on the machine, never encrypted nor prompted for, readable by the owner only</t>
  </si>
  <si>
    <t xml:space="preserve">§7.2, §7.6</t>
  </si>
  <si>
    <t xml:space="preserve">Tests check gen-csr creates the key locally and an encrypted key is refused, never prompted; permissions checked manually (M07).</t>
  </si>
  <si>
    <t xml:space="preserve">PkiTest.RejectsEncryptedKeyWithoutPrompting, CaTest.GenCsrCreatesNextGenerationWithPrivateKey</t>
  </si>
  <si>
    <t xml:space="preserve">M07</t>
  </si>
  <si>
    <t xml:space="preserve">PKI-05</t>
  </si>
  <si>
    <t xml:space="preserve">Hot rotation of the key pair, the certificate and the CAs: new connections on the new generation, old ones draining, generation released at its last connection; reload --kill-old</t>
  </si>
  <si>
    <t xml:space="preserve">§7.4</t>
  </si>
  <si>
    <t xml:space="preserve">Rotation tests under traffic: new connections use new generation, old ones drain; acceptance R08.</t>
  </si>
  <si>
    <t xml:space="preserve">RotationTest.NewConnectionsUseNewGenerationWhileOldOnesDrain, …OldGenerationIsReleasedWhenItsLastConnectionCloses, …KillOldClosesConnectionsOfRetiredGeneration, TunnelTest.RenegotiationMovesOpenChannelToNewGeneration, soak.sh</t>
  </si>
  <si>
    <t xml:space="preserve">R08</t>
  </si>
  <si>
    <t xml:space="preserve">PKI-06</t>
  </si>
  <si>
    <t xml:space="preserve">Invalid generation refused, service kept running; invalid PKI at startup: the service does not start</t>
  </si>
  <si>
    <t xml:space="preserve">§7.3, §7.4</t>
  </si>
  <si>
    <t xml:space="preserve">Tests: invalid generation refused while running; invalid PKI blocks startup.</t>
  </si>
  <si>
    <t xml:space="preserve">RotationTest.InvalidGenerationIsRefusedAndServiceContinues, TlsTest.ServiceRefusesToStartWithInvalidPki</t>
  </si>
  <si>
    <t xml:space="preserve">PKI-07</t>
  </si>
  <si>
    <t xml:space="preserve">Rotation guard: common root and chaining to a known root of the current generation; pki activate --force for emergencies</t>
  </si>
  <si>
    <t xml:space="preserve">Tests check the rotation guard refuses an unrelated root, and --force overrides it.</t>
  </si>
  <si>
    <t xml:space="preserve">PkiTest.CheckCandidateAppliesRootGuard, RotationTest.GuardRefusesRootChangeWithoutPreTrust, RotationTest.GuardRefusesIdentityFromUnknownRootEvenWithoutMtls</t>
  </si>
  <si>
    <t xml:space="preserve">PKI-08</t>
  </si>
  <si>
    <t xml:space="preserve">Three-step root change, without interruption</t>
  </si>
  <si>
    <t xml:space="preserve">§7.5</t>
  </si>
  <si>
    <t xml:space="preserve">Test runs the 3-step root change under traffic with no interruption; acceptance R09.</t>
  </si>
  <si>
    <t xml:space="preserve">RotationTest.ThreeStepRootChangeKeepsServiceAvailable, CaTest.RootTransitionFilesDriveTheThreeSteps</t>
  </si>
  <si>
    <t xml:space="preserve">R09</t>
  </si>
  <si>
    <t xml:space="preserve">PKI-09</t>
  </si>
  <si>
    <t xml:space="preserve">Pick-up: watch on current (2 s, can be disabled), SIGHUP, reload</t>
  </si>
  <si>
    <t xml:space="preserve">Tests check pick-up by file watch, SIGHUP and reload command.</t>
  </si>
  <si>
    <t xml:space="preserve">RotationTest.SighupTriggersReload, RotationTest.WatchDisabledWaitsForExplicitReload, AdminTest.ReloadReportsWhatChanged</t>
  </si>
  <si>
    <t xml:space="preserve">PKI-10</t>
  </si>
  <si>
    <t xml:space="preserve">Instance commands pki gen-csr, pki install (checks and guard), pki activate, check-pki</t>
  </si>
  <si>
    <t xml:space="preserve">§7.6</t>
  </si>
  <si>
    <t xml:space="preserve">Command-line lifecycle scripts run gen-csr, install, activate and check-pki; acceptance R01.</t>
  </si>
  <si>
    <t xml:space="preserve">CaTest.InstallRejectsCertificateForAnotherKey, CaTest.RenewalRotatesKeyAndKeepsTrustFiles, CaTest.GenCsrCreatesNextGenerationWithPrivateKey, pki.sh, windows-pki.ps1, cli.sh</t>
  </si>
  <si>
    <t xml:space="preserve">CA-01</t>
  </si>
  <si>
    <t xml:space="preserve">Mini-CA</t>
  </si>
  <si>
    <t xml:space="preserve">ca init: encrypted CA keys (scrypt, AES-256-CBC), passphrase of at least 12 characters, restricted permissions (0600, protected ACL); non-empty directory refused</t>
  </si>
  <si>
    <t xml:space="preserve">Tests check CA keys are encrypted, passphrase rules enforced, permissions/ACL restricted.</t>
  </si>
  <si>
    <t xml:space="preserve">CaTest.InitCreatesHierarchyWithEncryptedKeys, windows-pki.ps1 (ACL), cli.sh (passphrase from a pipe and a terminal)</t>
  </si>
  <si>
    <t xml:space="preserve">CA-02</t>
  </si>
  <si>
    <t xml:space="preserve">Signing policy: proof of possession, P-256 key, CN, extensions set by the CA, SAN mandatory for a server, validity bounded by the CA</t>
  </si>
  <si>
    <t xml:space="preserve">Signing tests refuse bad requests (no proof of possession, wrong key, missing SAN) and enforce limits.</t>
  </si>
  <si>
    <t xml:space="preserve">CaTest.SignAppliesCaPolicyAndIgnoresRequestedExtensions, CaTest.SignRefusesNonConformingRequests, SubjectAltNames.ParsesTypedAndBareValues, fuzz_csr, Qt sign_and_create_dialogs</t>
  </si>
  <si>
    <t xml:space="preserve">CA-03</t>
  </si>
  <si>
    <t xml:space="preserve">A subject is assigned only once, except on renewal; the old certificate is then marked superseded</t>
  </si>
  <si>
    <t xml:space="preserve">Tests refuse a duplicate subject and mark the old certificate replaced on renewal.</t>
  </si>
  <si>
    <t xml:space="preserve">CaTest.SubjectIsAttributedOnceUnlessRenewed</t>
  </si>
  <si>
    <t xml:space="preserve">CA-04</t>
  </si>
  <si>
    <t xml:space="preserve">Inventory of issued certificates (ca list), including inventories from before delivery 1.1</t>
  </si>
  <si>
    <t xml:space="preserve">Tests list issued certificates, including old-format inventories; editor inventory E06.</t>
  </si>
  <si>
    <t xml:space="preserve">CaTest.IndexWithoutRevocationColumnsIsStillRead, CaTest.DescribeAuthoritySummarizesCertificatesAndCrl</t>
  </si>
  <si>
    <t xml:space="preserve">E06</t>
  </si>
  <si>
    <t xml:space="preserve">CA-05</t>
  </si>
  <si>
    <t xml:space="preserve">Revocation (ca revoke, RFC 5280 reason) and publication of signed, numbered v2 CRLs, one per intermediate CA (ca crl)</t>
  </si>
  <si>
    <t xml:space="preserve">1.1</t>
  </si>
  <si>
    <t xml:space="preserve">§7.6, §7.7</t>
  </si>
  <si>
    <t xml:space="preserve">Tests revoke certificates and verify signed, numbered CRLs per CA; editor step E08.</t>
  </si>
  <si>
    <t xml:space="preserve">CaTest.RevocationIsPublishedInSignedCrls, pki.sh, Qt revoke_and_crl_dialogs</t>
  </si>
  <si>
    <t xml:space="preserve">E08</t>
  </si>
  <si>
    <t xml:space="preserve">CA-06</t>
  </si>
  <si>
    <t xml:space="preserve">Audit log of CA operations, hash-chained with SHA-256; tampering is detected (ca audit)</t>
  </si>
  <si>
    <t xml:space="preserve">Tests write the audit log, tamper with it and check detection; also run by the PKI command scripts; editor step E10.</t>
  </si>
  <si>
    <t xml:space="preserve">CaTest.AuditLogRecordsOperationsAndDetectsTampering (including a non-CA directory refused), pki.sh, windows-pki.ps1</t>
  </si>
  <si>
    <t xml:space="preserve">E10</t>
  </si>
  <si>
    <t xml:space="preserve">CA-07</t>
  </si>
  <si>
    <t xml:space="preserve">Root-change preparation: trust files per role, CRLs of both CAs, commands (ca root-change)</t>
  </si>
  <si>
    <t xml:space="preserve">Tests check root-change files, CRLs and commands are produced; acceptance R09.</t>
  </si>
  <si>
    <t xml:space="preserve">CaTest.RootTransitionFilesDriveTheThreeSteps, cli.sh, Qt root_change_dialog_creates_ca_and_prepares_files</t>
  </si>
  <si>
    <t xml:space="preserve">CRL-01</t>
  </si>
  <si>
    <t xml:space="preserve">Revocation enforced by the service</t>
  </si>
  <si>
    <t xml:space="preserve">CRLs from &lt;pki_root&gt;/crl.pem verified (signature of the expected CA); revoked certificate refused at the handshake, on the server side as on the client side</t>
  </si>
  <si>
    <t xml:space="preserve">§7.7</t>
  </si>
  <si>
    <t xml:space="preserve">Tests check revoked certificates are refused at handshake on both sides, and CRL signatures verified.</t>
  </si>
  <si>
    <t xml:space="preserve">CrlTest.ServerRefusesRevokedClientCertificate, CrlTest.ClientRefusesRevokedServerCertificate, CrlTest.CrlOfOtherCertificatesChangesNothing, CaTest.PublishedCrlIsAcceptedByInstancesOfBothRoles</t>
  </si>
  <si>
    <t xml:space="preserve">CRL-02</t>
  </si>
  <si>
    <t xml:space="preserve">CRLs reloaded at runtime (watch, reload, generation switch); channels of a revoked peer closed, except with next_renegotiation</t>
  </si>
  <si>
    <t xml:space="preserve">Tests reload CRLs at runtime and check revoked peers' channels close.</t>
  </si>
  <si>
    <t xml:space="preserve">CrlTest.PublishedCrlClosesActiveChannelAndRefusesNewOnes, CrlTest.NextRenegotiationKeepsActiveChannel</t>
  </si>
  <si>
    <t xml:space="preserve">CRL-03</t>
  </si>
  <si>
    <t xml:space="preserve">Invalid CRL: refusal to start, then CRLs in force kept; stale CRL applied with a warning; revoked instance certificate reported</t>
  </si>
  <si>
    <t xml:space="preserve">Tests with invalid, stale and self-revoking CRLs check startup refusal, warnings and reports.</t>
  </si>
  <si>
    <t xml:space="preserve">CrlTest.InvalidCrlIsRefusedAtStartupAndKeptAsIsOnReload, CrlTest.ExpiredCrlIsStillAppliedWithWarning, CrlTest.RevokedInstanceCertificateIsReported</t>
  </si>
  <si>
    <t xml:space="preserve">CRL-04</t>
  </si>
  <si>
    <t xml:space="preserve">pki crl checks and installs the CRLs; check-pki, status and the metrics report on them</t>
  </si>
  <si>
    <t xml:space="preserve">Command tests for pki crl; status, check-pki and metrics report CRL state.</t>
  </si>
  <si>
    <t xml:space="preserve">pki.sh, CaTest.PublishedCrlIsAcceptedByInstancesOfBothRoles, cli.sh</t>
  </si>
  <si>
    <t xml:space="preserve">CFG-01</t>
  </si>
  <si>
    <t xml:space="preserve">Configuration</t>
  </si>
  <si>
    <t xml:space="preserve">YAML configuration; all errors are reported, with their path; unknown key refused at every level</t>
  </si>
  <si>
    <t xml:space="preserve">§8</t>
  </si>
  <si>
    <t xml:space="preserve">Config tests check every error is reported with its path and unknown keys are refused; fuzzed.</t>
  </si>
  <si>
    <t xml:space="preserve">Config.* (8 tests), fuzz_config, Config.DefaultsMatchSpecification, Config.DestinationAndWhitelistSectionErrors</t>
  </si>
  <si>
    <t xml:space="preserve">CFG-02</t>
  </si>
  <si>
    <t xml:space="preserve">Validation rules of 8.3, shared by the service and the editor</t>
  </si>
  <si>
    <t xml:space="preserve">§8.3</t>
  </si>
  <si>
    <t xml:space="preserve">Same validation code used by service and editor; Qt test checks they agree; acceptance E02.</t>
  </si>
  <si>
    <t xml:space="preserve">Validate.* (8 tests), Qt validation_matches_service, Validate.EveryLimitBound</t>
  </si>
  <si>
    <t xml:space="preserve">E02</t>
  </si>
  <si>
    <t xml:space="preserve">CFG-03</t>
  </si>
  <si>
    <t xml:space="preserve">Value formats: durations, sizes, percentages, IPv4 and IPv6 addresses and host names</t>
  </si>
  <si>
    <t xml:space="preserve">Unit tests for durations, sizes, percentages, IPv4/IPv6 and host names.</t>
  </si>
  <si>
    <t xml:space="preserve">ParseDuration.*, ParseSize.*, ParsePercent.*, ParseEndpoint.*, Endpoint.ToStringBracketsIpv6, IpLiteral.RecognisesAddresses, IpRange.MatchesAddresses, ParseSize.RejectsOverflow, ParsePercent.Bounds, ParseDuration.TrimsBlanksAndRejectsMillisecondOverflow</t>
  </si>
  <si>
    <t xml:space="preserve">CFG-04</t>
  </si>
  <si>
    <t xml:space="preserve">Normalised writing of the configuration and the whitelist, read back identically</t>
  </si>
  <si>
    <t xml:space="preserve">Round-trip tests: written files read back identically.</t>
  </si>
  <si>
    <t xml:space="preserve">ConfigWriter.*, WhitelistWriter.*, Units.FormatSizeAndPercentRoundTrip, FormatDuration.UsesLargestExactUnit, Qt form_round_trips_examples, new_document_is_saved_normalized</t>
  </si>
  <si>
    <t xml:space="preserve">LOG-01</t>
  </si>
  <si>
    <t xml:space="preserve">Logging</t>
  </si>
  <si>
    <t xml:space="preserve">Levels error, info, debug, trace; categories activity and config; text or JSON format; file or standard error</t>
  </si>
  <si>
    <t xml:space="preserve">§9</t>
  </si>
  <si>
    <t xml:space="preserve">Logging tests for levels, categories, text and JSON output; manual check M05.</t>
  </si>
  <si>
    <t xml:space="preserve">Logging.*, JsonFormatter.WritesOneObjectPerLine, JsonEscape.EscapesSpecialCharacters, Validate.InstanceNameAndLogOutput</t>
  </si>
  <si>
    <t xml:space="preserve">M05</t>
  </si>
  <si>
    <t xml:space="preserve">LOG-02</t>
  </si>
  <si>
    <t xml:space="preserve">Level changeable at runtime; log file reopened (rotation)</t>
  </si>
  <si>
    <t xml:space="preserve">Tests change log level at runtime and reopen the file; acceptance R10, manual M06 on Windows.</t>
  </si>
  <si>
    <t xml:space="preserve">AdminTest.LogLevelChangesAtRuntime, AdminTest.LogReopenStartsNewFileAfterRotation (Linux)</t>
  </si>
  <si>
    <t xml:space="preserve">R10, M06 (Windows)</t>
  </si>
  <si>
    <t xml:space="preserve">LOG-03</t>
  </si>
  <si>
    <t xml:space="preserve">No key, token, secret or relayed data in the logs; data coming from a peer escaped</t>
  </si>
  <si>
    <t xml:space="preserve">Tests check logs contain no secrets or data and escape peer input; acceptance R10.</t>
  </si>
  <si>
    <t xml:space="preserve">AttackTest.TraceLogsContainNoSecretsNorRelayedData, AttackTest.PeerMessageCannotInjectLogLines, Frame.StatusMessageControlCharactersAreEscaped</t>
  </si>
  <si>
    <t xml:space="preserve">R10</t>
  </si>
  <si>
    <t xml:space="preserve">ADM-01</t>
  </si>
  <si>
    <t xml:space="preserve">Lifecycle and administration</t>
  </si>
  <si>
    <t xml:space="preserve">systemd (tlsrelay@N) and Windows (tlsrelay-N) services, named instances, start with the system</t>
  </si>
  <si>
    <t xml:space="preserve">§10, §10.3</t>
  </si>
  <si>
    <t xml:space="preserve">Lifecycle scripts install, start and stop real systemd and Windows services in CI; manual M01, M09.</t>
  </si>
  <si>
    <t xml:space="preserve">systemd.sh, windows-service.ps1</t>
  </si>
  <si>
    <t xml:space="preserve">R02, M01, M09</t>
  </si>
  <si>
    <t xml:space="preserve">ADM-02</t>
  </si>
  <si>
    <t xml:space="preserve">Graceful stop with drain (shutdown_timeout), immediate stop, restart; second Ctrl+C: immediate stop</t>
  </si>
  <si>
    <t xml:space="preserve">§10</t>
  </si>
  <si>
    <t xml:space="preserve">Lifecycle tests for graceful stop with drain, kill and restart; acceptance R12, manual M02/M03.</t>
  </si>
  <si>
    <t xml:space="preserve">Relay.GracefulStop*, Relay.AbortClosesChannelsImmediately, Relay.Signal*, Relay.SecondSignalForcesImmediateStop, AdminTest.StopDrainsThenStops, AdminTest.KillStopsImmediately, console.sh, systemd.sh, windows-service.ps1</t>
  </si>
  <si>
    <t xml:space="preserve">R12, M02, M03</t>
  </si>
  <si>
    <t xml:space="preserve">ADM-03</t>
  </si>
  <si>
    <t xml:space="preserve">Local administration channel (Unix socket, named pipe), restricted to administrators and the service account; each command logged with the caller</t>
  </si>
  <si>
    <t xml:space="preserve">§10.1</t>
  </si>
  <si>
    <t xml:space="preserve">Admin-channel tests for permissions and command logging; manual M04 on Windows.</t>
  </si>
  <si>
    <t xml:space="preserve">AdminTest.SocketIsRestrictedToOwnerAndGroup (Linux), AdminTest.UnknownOrMalformedCommandsAreRefused, AdminProtocol.ParsesRequestWords, systemd.sh (non-authorised user), fuzz_admin, AdminTest.EndpointErrorsAreReported, AdminTest.InvalidRepliesAreRejected (Linux)</t>
  </si>
  <si>
    <t xml:space="preserve">M04 (Windows)</t>
  </si>
  <si>
    <t xml:space="preserve">ADM-04</t>
  </si>
  <si>
    <t xml:space="preserve">Instance lock: a second execution of the same instance is refused</t>
  </si>
  <si>
    <t xml:space="preserve">Test starts the same instance twice and checks the second is refused.</t>
  </si>
  <si>
    <t xml:space="preserve">AdminTest.SecondExecutionOfSameInstanceIsRefused, console.sh</t>
  </si>
  <si>
    <t xml:space="preserve">ADM-05</t>
  </si>
  <si>
    <t xml:space="preserve">status, channels, reload (with outcome) and check-config commands; stopped instance reported</t>
  </si>
  <si>
    <t xml:space="preserve">Admin tests for status, channels, reload and check-config; acceptance R11.</t>
  </si>
  <si>
    <t xml:space="preserve">AdminTest.StatusDescribesInstance, …ChannelsListsOpenChannels, …ReloadReportsWhatChanged, …UnreachableInstanceIsReported, console.sh, cli.sh</t>
  </si>
  <si>
    <t xml:space="preserve">R11</t>
  </si>
  <si>
    <t xml:space="preserve">ADM-06</t>
  </si>
  <si>
    <t xml:space="preserve">Configuration reload: log levels applied at runtime, other changes reported as requiring a restart</t>
  </si>
  <si>
    <t xml:space="preserve">§10.2</t>
  </si>
  <si>
    <t xml:space="preserve">Tests reload a changed config: log levels applied, other changes flagged as needing restart.</t>
  </si>
  <si>
    <t xml:space="preserve">AdminTest.ReloadReportsWhatChanged</t>
  </si>
  <si>
    <t xml:space="preserve">ADM-07</t>
  </si>
  <si>
    <t xml:space="preserve">Least-privilege services: tlsrelay account with only the CAP_NET_BIND_SERVICE capability, virtual account NT SERVICE\tlsrelay-N</t>
  </si>
  <si>
    <t xml:space="preserve">Service tests check the least-privilege account and capabilities; manual M07.</t>
  </si>
  <si>
    <t xml:space="preserve">ADM-08</t>
  </si>
  <si>
    <t xml:space="preserve">Metrics in Prometheus text format, read over the administration channel (series of 10.4)</t>
  </si>
  <si>
    <t xml:space="preserve">§10.4</t>
  </si>
  <si>
    <t xml:space="preserve">Test checks metrics output follows the Prometheus text format; acceptance R11.</t>
  </si>
  <si>
    <t xml:space="preserve">AdminTest.MetricsUsePrometheusTextFormat</t>
  </si>
  <si>
    <t xml:space="preserve">SEC-01</t>
  </si>
  <si>
    <t xml:space="preserve">Security and quality</t>
  </si>
  <si>
    <t xml:space="preserve">Hardened executables: PIE, full RELRO, stack protector, _FORTIFY_SOURCE; /guard:cf, DEP, ASLR on Windows</t>
  </si>
  <si>
    <t xml:space="preserve">PLAN §5.4</t>
  </si>
  <si>
    <t xml:space="preserve">Scripts check hardening flags in the Linux and Windows binaries in CI.</t>
  </si>
  <si>
    <t xml:space="preserve">check-hardening.sh, check-hardening.ps1</t>
  </si>
  <si>
    <t xml:space="preserve">SEC-02</t>
  </si>
  <si>
    <t xml:space="preserve">No memory error or data race detected: sanitizers, fuzzing, static analysis without findings</t>
  </si>
  <si>
    <t xml:space="preserve">Sanitizer builds (ASan, UBSan, TSan), fuzzing and static analysis in CI; longer fuzzing before production.</t>
  </si>
  <si>
    <t xml:space="preserve">ASan+UBSan, TSan, 6 fuzz targets, clang-tidy, cppcheck, MSVC /analyze</t>
  </si>
  <si>
    <t xml:space="preserve">24 h fuzzing, Application Verifier (before production)</t>
  </si>
  <si>
    <t xml:space="preserve">SEC-03</t>
  </si>
  <si>
    <t xml:space="preserve">Resistance to attacks: fake server, hostile frames, flooding, log injection</t>
  </si>
  <si>
    <t xml:space="preserve">12 attack tests in CI (fake server, hostile frames, floods, log injection); manual penetration test.</t>
  </si>
  <si>
    <t xml:space="preserve">AttackTest.* (12 tests), negative TLS/mTLS tests</t>
  </si>
  <si>
    <t xml:space="preserve">PENTEST.md penetration test</t>
  </si>
  <si>
    <t xml:space="preserve">SEC-04</t>
  </si>
  <si>
    <t xml:space="preserve">Dependencies without known vulnerabilities</t>
  </si>
  <si>
    <t xml:space="preserve">Dependency check script in CI flags known-vulnerable versions.</t>
  </si>
  <si>
    <t xml:space="preserve">check-deps.sh</t>
  </si>
  <si>
    <t xml:space="preserve">PERF-01</t>
  </si>
  <si>
    <t xml:space="preserve">Performance</t>
  </si>
  <si>
    <t xml:space="preserve">5,000 concurrent channels with data integrity</t>
  </si>
  <si>
    <t xml:space="preserve">PLAN §5.6</t>
  </si>
  <si>
    <t xml:space="preserve">CI runs 1,000 concurrent channels; 5,000 measured manually on the performance machine.</t>
  </si>
  <si>
    <t xml:space="preserve">Partial (manual)</t>
  </si>
  <si>
    <t xml:space="preserve">perf.sh with 1,000 channels in CI</t>
  </si>
  <si>
    <t xml:space="preserve">5,000 measured on the performance machine</t>
  </si>
  <si>
    <t xml:space="preserve">PERF-02</t>
  </si>
  <si>
    <t xml:space="preserve">100 Mbit/s per channel</t>
  </si>
  <si>
    <t xml:space="preserve">Performance script in CI measures per-channel throughput; acceptance R04.</t>
  </si>
  <si>
    <t xml:space="preserve">perf.sh</t>
  </si>
  <si>
    <t xml:space="preserve">R04</t>
  </si>
  <si>
    <t xml:space="preserve">PERF-03</t>
  </si>
  <si>
    <t xml:space="preserve">Added latency below 1 ms (local)</t>
  </si>
  <si>
    <t xml:space="preserve">Performance script in CI measures added latency; acceptance R04.</t>
  </si>
  <si>
    <t xml:space="preserve">PERF-04</t>
  </si>
  <si>
    <t xml:space="preserve">72 h endurance with rotations, renegotiations and cuts: stable memory, descriptors and generations</t>
  </si>
  <si>
    <t xml:space="preserve">CI runs a 4-minute soak test; full 72 h run done manually before production.</t>
  </si>
  <si>
    <t xml:space="preserve">soak.sh for 4 minutes</t>
  </si>
  <si>
    <t xml:space="preserve">72 h run before production</t>
  </si>
  <si>
    <t xml:space="preserve">PKG-01</t>
  </si>
  <si>
    <t xml:space="preserve">Delivery</t>
  </si>
  <si>
    <t xml:space="preserve">.deb, .rpm and .msi packages: installation, in-place upgrade, uninstallation</t>
  </si>
  <si>
    <t xml:space="preserve">PLAN §4</t>
  </si>
  <si>
    <t xml:space="preserve">CI builds and installs/uninstalls .deb, .rpm and .msi packages; in-place upgrade checked manually.</t>
  </si>
  <si>
    <t xml:space="preserve">Package jobs, installs on 5 distributions, MSI install/uninstall</t>
  </si>
  <si>
    <t xml:space="preserve">In-place upgrade (before production)</t>
  </si>
  <si>
    <t xml:space="preserve">PKG-02</t>
  </si>
  <si>
    <t xml:space="preserve">Licence and third-party notices shipped with the packages</t>
  </si>
  <si>
    <t xml:space="preserve">Package tests check licence and notice files are shipped; acceptance E01.</t>
  </si>
  <si>
    <t xml:space="preserve">test-linux-package.sh, Windows MSI checks</t>
  </si>
  <si>
    <t xml:space="preserve">E01</t>
  </si>
  <si>
    <t xml:space="preserve">PKG-03</t>
  </si>
  <si>
    <t xml:space="preserve">Delivery accompanied by the SHA-256 hashes of the packages</t>
  </si>
  <si>
    <t xml:space="preserve">INSTALLATION §1</t>
  </si>
  <si>
    <t xml:space="preserve">CI release job publishes packages with their SHA-256 hashes; manual check M08.</t>
  </si>
  <si>
    <t xml:space="preserve">tlsrelay-release artifact</t>
  </si>
  <si>
    <t xml:space="preserve">M08</t>
  </si>
  <si>
    <t xml:space="preserve">EDT-01</t>
  </si>
  <si>
    <t xml:space="preserve">tlsrelay-admin editor</t>
  </si>
  <si>
    <t xml:space="preserve">Editing of the configuration and the whitelist, validated by the service's rules, fields in error highlighted</t>
  </si>
  <si>
    <t xml:space="preserve">§8.3, EDITEUR §2</t>
  </si>
  <si>
    <t xml:space="preserve">Qt tests check editor validation matches the service and highlights faulty fields; acceptance E02.</t>
  </si>
  <si>
    <t xml:space="preserve">Qt validation_matches_service, invalid_fields_are_marked, fields_without_object_are_hidden_unless_filled, whitelist_editor_round_trip_and_marks, form_round_trips_examples, Admin.CheckInvalid, Qt main_window_navigation_and_close, Admin.CheckWhitelist</t>
  </si>
  <si>
    <t xml:space="preserve">EDT-02</t>
  </si>
  <si>
    <t xml:space="preserve">Saving refused while errors remain; diff preview; original kept as .bak; atomic write</t>
  </si>
  <si>
    <t xml:space="preserve">EDITEUR §3</t>
  </si>
  <si>
    <t xml:space="preserve">Qt tests: save refused while invalid, diff preview, .bak kept, atomic write; acceptance E03/E04.</t>
  </si>
  <si>
    <t xml:space="preserve">Qt open_edit_save_with_preview_and_backup, save_refused_while_invalid, new_document_is_saved_normalized, diff_preview_lists_changes, TextDiff.*, Qt diff_dialog_is_shown_and_controls_saving, main_window_navigation_and_close</t>
  </si>
  <si>
    <t xml:space="preserve">E03, E04</t>
  </si>
  <si>
    <t xml:space="preserve">EDT-03</t>
  </si>
  <si>
    <t xml:space="preserve">Export of a deployment package for Linux or Windows (configuration, whitelist, kit, CRL, script, instructions)</t>
  </si>
  <si>
    <t xml:space="preserve">EDITEUR §4</t>
  </si>
  <si>
    <t xml:space="preserve">Qt tests export Linux and Windows deployment packages and check contents; acceptance E05.</t>
  </si>
  <si>
    <t xml:space="preserve">Qt export_package_for_linux_and_windows, Qt export_dialog_builds_request_and_warns</t>
  </si>
  <si>
    <t xml:space="preserve">E05</t>
  </si>
  <si>
    <t xml:space="preserve">EDT-04</t>
  </si>
  <si>
    <t xml:space="preserve">PKI module: open or create the mini-CA, inventory, signing, renewal, revocation and CRLs, audit log; passphrase never stored</t>
  </si>
  <si>
    <t xml:space="preserve">EDITEUR §5</t>
  </si>
  <si>
    <t xml:space="preserve">Qt tests run the full PKI panel cycle (sign, renew, revoke, CRL, audit); acceptance E06–E09.</t>
  </si>
  <si>
    <t xml:space="preserve">Qt pki_panel_full_cycle, pki_panel_refuses_wrong_passphrase_and_bad_directory, sign_dialog_inspects_request, CaTest.DescribeAuthoritySummarizesCertificatesAndCrl, Qt revoke_and_crl_dialogs, sign_and_create_dialogs</t>
  </si>
  <si>
    <t xml:space="preserve">E06–E09</t>
  </si>
  <si>
    <t xml:space="preserve">EDT-05</t>
  </si>
  <si>
    <t xml:space="preserve">Root-change wizard</t>
  </si>
  <si>
    <t xml:space="preserve">Qt tests run the root-change wizard and check the files it prepares; acceptance E10.</t>
  </si>
  <si>
    <t xml:space="preserve">Qt pki_root_change_preparation, Qt root_change_dialog_creates_ca_and_prepares_files</t>
  </si>
  <si>
    <t xml:space="preserve">EDT-06</t>
  </si>
  <si>
    <t xml:space="preserve">Shipped in the MSI ("tlsrelay-admin" feature, Qt 6 under LGPLv3, dynamic linking); headless --check</t>
  </si>
  <si>
    <t xml:space="preserve">EDITEUR §1</t>
  </si>
  <si>
    <t xml:space="preserve">MSI install tested in CI with the editor; headless --check tested; acceptance E01.</t>
  </si>
  <si>
    <t xml:space="preserve">Admin.CheckValid, Admin.CheckInvalid, Windows "Installed editor" step, Admin.CheckWhitelist, Admin.CheckUnreadable, Admin.CheckHeadless</t>
  </si>
  <si>
    <t xml:space="preserve">Coverage summary</t>
  </si>
  <si>
    <t xml:space="preserve">Counts are formulas over the Requirements sheet.</t>
  </si>
  <si>
    <t xml:space="preserve">Requirements</t>
  </si>
  <si>
    <t xml:space="preserve">% fully automated</t>
  </si>
  <si>
    <t xml:space="preserve">Total</t>
  </si>
  <si>
    <t xml:space="preserve">Automated (fully or with a manual complement)</t>
  </si>
  <si>
    <t xml:space="preserve">Fully verified by automated tests on every push (GitHub Actions CI).</t>
  </si>
  <si>
    <t xml:space="preserve">Automated in CI, with a manual complement during acceptance or before production.</t>
  </si>
  <si>
    <t xml:space="preserve">Automated at reduced scale in CI; full verification is manual (performance machine, long runs).</t>
  </si>
  <si>
    <t xml:space="preserve">Test references</t>
  </si>
  <si>
    <t xml:space="preserve">GoogleTest names (e.g. TlsTest.ServerRejectsTls12)</t>
  </si>
  <si>
    <t xml:space="preserve">Unit and integration tests in tests/*.cpp, run by ctest on Linux and Windows.</t>
  </si>
  <si>
    <t xml:space="preserve">Qt test names (e.g. pki_panel_full_cycle)</t>
  </si>
  <si>
    <t xml:space="preserve">Editor tests in tests/admin/test_admin.cpp.</t>
  </si>
  <si>
    <t xml:space="preserve">Scripts (systemd.sh, tls-scan.sh, perf.sh …)</t>
  </si>
  <si>
    <t xml:space="preserve">Lifecycle, security and performance scripts in tests/lifecycle, tests/perf and tools/.</t>
  </si>
  <si>
    <t xml:space="preserve">R01–R13</t>
  </si>
  <si>
    <t xml:space="preserve">Automated acceptance scenarios (tools/acceptance.ps1), docs/ACCEPTANCE.md.</t>
  </si>
  <si>
    <t xml:space="preserve">M01–M09</t>
  </si>
  <si>
    <t xml:space="preserve">Manual acceptance steps for the service, docs/ACCEPTANCE.md.</t>
  </si>
  <si>
    <t xml:space="preserve">E01–E10</t>
  </si>
  <si>
    <t xml:space="preserve">Acceptance steps for the editor, docs/ACCEPTANCE.md.</t>
  </si>
  <si>
    <t xml:space="preserve">Section of docs/SPEC.md (§n), PLAN.md or EDITOR.md describing the requirement.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</si>
</sst>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60"/>
    <col collapsed="false" customWidth="true" hidden="false" outlineLevel="0" max="7" min="7" style="0" width="16"/>
    <col collapsed="false" customWidth="true" hidden="false" outlineLevel="0" max="8" min="8" style="0" width="60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5.05" hidden="false" customHeight="false" outlineLevel="0" collapsed="false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6" t="s">
        <v>17</v>
      </c>
      <c r="H5" s="5" t="s">
        <v>18</v>
      </c>
      <c r="I5" s="5" t="s">
        <v>19</v>
      </c>
    </row>
    <row r="6" customFormat="false" ht="23.85" hidden="false" customHeight="false" outlineLevel="0" collapsed="false">
      <c r="A6" s="4" t="s">
        <v>20</v>
      </c>
      <c r="B6" s="5" t="s">
        <v>12</v>
      </c>
      <c r="C6" s="5" t="s">
        <v>21</v>
      </c>
      <c r="D6" s="5" t="s">
        <v>14</v>
      </c>
      <c r="E6" s="5" t="s">
        <v>22</v>
      </c>
      <c r="F6" s="5" t="s">
        <v>23</v>
      </c>
      <c r="G6" s="7" t="s">
        <v>24</v>
      </c>
      <c r="H6" s="5" t="s">
        <v>25</v>
      </c>
      <c r="I6" s="5" t="s">
        <v>26</v>
      </c>
    </row>
    <row r="7" customFormat="false" ht="23.85" hidden="false" customHeight="false" outlineLevel="0" collapsed="false">
      <c r="A7" s="4" t="s">
        <v>27</v>
      </c>
      <c r="B7" s="5" t="s">
        <v>12</v>
      </c>
      <c r="C7" s="5" t="s">
        <v>28</v>
      </c>
      <c r="D7" s="5" t="s">
        <v>14</v>
      </c>
      <c r="E7" s="5" t="s">
        <v>29</v>
      </c>
      <c r="F7" s="5" t="s">
        <v>30</v>
      </c>
      <c r="G7" s="7" t="s">
        <v>24</v>
      </c>
      <c r="H7" s="5" t="s">
        <v>31</v>
      </c>
      <c r="I7" s="5" t="s">
        <v>32</v>
      </c>
    </row>
    <row r="8" customFormat="false" ht="35.05" hidden="false" customHeight="false" outlineLevel="0" collapsed="false">
      <c r="A8" s="4" t="s">
        <v>33</v>
      </c>
      <c r="B8" s="5" t="s">
        <v>12</v>
      </c>
      <c r="C8" s="5" t="s">
        <v>34</v>
      </c>
      <c r="D8" s="5" t="s">
        <v>14</v>
      </c>
      <c r="E8" s="5" t="s">
        <v>35</v>
      </c>
      <c r="F8" s="5" t="s">
        <v>36</v>
      </c>
      <c r="G8" s="7" t="s">
        <v>24</v>
      </c>
      <c r="H8" s="5" t="s">
        <v>37</v>
      </c>
      <c r="I8" s="5" t="s">
        <v>38</v>
      </c>
    </row>
    <row r="9" customFormat="false" ht="23.85" hidden="false" customHeight="false" outlineLevel="0" collapsed="false">
      <c r="A9" s="4" t="s">
        <v>39</v>
      </c>
      <c r="B9" s="5" t="s">
        <v>12</v>
      </c>
      <c r="C9" s="5" t="s">
        <v>40</v>
      </c>
      <c r="D9" s="5" t="s">
        <v>14</v>
      </c>
      <c r="E9" s="5" t="s">
        <v>35</v>
      </c>
      <c r="F9" s="5" t="s">
        <v>41</v>
      </c>
      <c r="G9" s="7" t="s">
        <v>24</v>
      </c>
      <c r="H9" s="5" t="s">
        <v>42</v>
      </c>
      <c r="I9" s="5" t="s">
        <v>38</v>
      </c>
    </row>
    <row r="10" customFormat="false" ht="23.85" hidden="false" customHeight="false" outlineLevel="0" collapsed="false">
      <c r="A10" s="4" t="s">
        <v>43</v>
      </c>
      <c r="B10" s="5" t="s">
        <v>44</v>
      </c>
      <c r="C10" s="5" t="s">
        <v>45</v>
      </c>
      <c r="D10" s="5" t="s">
        <v>14</v>
      </c>
      <c r="E10" s="5" t="s">
        <v>46</v>
      </c>
      <c r="F10" s="5" t="s">
        <v>47</v>
      </c>
      <c r="G10" s="7" t="s">
        <v>24</v>
      </c>
      <c r="H10" s="5" t="s">
        <v>48</v>
      </c>
      <c r="I10" s="5" t="s">
        <v>32</v>
      </c>
    </row>
    <row r="11" customFormat="false" ht="23.85" hidden="false" customHeight="false" outlineLevel="0" collapsed="false">
      <c r="A11" s="4" t="s">
        <v>49</v>
      </c>
      <c r="B11" s="5" t="s">
        <v>44</v>
      </c>
      <c r="C11" s="5" t="s">
        <v>50</v>
      </c>
      <c r="D11" s="5" t="s">
        <v>14</v>
      </c>
      <c r="E11" s="5" t="s">
        <v>46</v>
      </c>
      <c r="F11" s="5" t="s">
        <v>51</v>
      </c>
      <c r="G11" s="7" t="s">
        <v>24</v>
      </c>
      <c r="H11" s="5" t="s">
        <v>52</v>
      </c>
      <c r="I11" s="5" t="s">
        <v>32</v>
      </c>
    </row>
    <row r="12" customFormat="false" ht="23.85" hidden="false" customHeight="false" outlineLevel="0" collapsed="false">
      <c r="A12" s="4" t="s">
        <v>53</v>
      </c>
      <c r="B12" s="5" t="s">
        <v>44</v>
      </c>
      <c r="C12" s="5" t="s">
        <v>54</v>
      </c>
      <c r="D12" s="5" t="s">
        <v>14</v>
      </c>
      <c r="E12" s="5" t="s">
        <v>46</v>
      </c>
      <c r="F12" s="5" t="s">
        <v>55</v>
      </c>
      <c r="G12" s="7" t="s">
        <v>24</v>
      </c>
      <c r="H12" s="5" t="s">
        <v>56</v>
      </c>
      <c r="I12" s="5" t="s">
        <v>32</v>
      </c>
    </row>
    <row r="13" customFormat="false" ht="23.85" hidden="false" customHeight="false" outlineLevel="0" collapsed="false">
      <c r="A13" s="4" t="s">
        <v>57</v>
      </c>
      <c r="B13" s="5" t="s">
        <v>44</v>
      </c>
      <c r="C13" s="5" t="s">
        <v>58</v>
      </c>
      <c r="D13" s="5" t="s">
        <v>14</v>
      </c>
      <c r="E13" s="5" t="s">
        <v>46</v>
      </c>
      <c r="F13" s="5" t="s">
        <v>59</v>
      </c>
      <c r="G13" s="7" t="s">
        <v>24</v>
      </c>
      <c r="H13" s="5" t="s">
        <v>60</v>
      </c>
      <c r="I13" s="5" t="s">
        <v>32</v>
      </c>
    </row>
    <row r="14" customFormat="false" ht="57.45" hidden="false" customHeight="false" outlineLevel="0" collapsed="false">
      <c r="A14" s="4" t="s">
        <v>61</v>
      </c>
      <c r="B14" s="5" t="s">
        <v>44</v>
      </c>
      <c r="C14" s="5" t="s">
        <v>62</v>
      </c>
      <c r="D14" s="5" t="s">
        <v>14</v>
      </c>
      <c r="E14" s="5" t="s">
        <v>46</v>
      </c>
      <c r="F14" s="5" t="s">
        <v>63</v>
      </c>
      <c r="G14" s="7" t="s">
        <v>24</v>
      </c>
      <c r="H14" s="5" t="s">
        <v>64</v>
      </c>
      <c r="I14" s="5" t="s">
        <v>32</v>
      </c>
    </row>
    <row r="15" customFormat="false" ht="35.05" hidden="false" customHeight="false" outlineLevel="0" collapsed="false">
      <c r="A15" s="4" t="s">
        <v>65</v>
      </c>
      <c r="B15" s="5" t="s">
        <v>44</v>
      </c>
      <c r="C15" s="5" t="s">
        <v>66</v>
      </c>
      <c r="D15" s="5" t="s">
        <v>14</v>
      </c>
      <c r="E15" s="5" t="s">
        <v>46</v>
      </c>
      <c r="F15" s="5" t="s">
        <v>67</v>
      </c>
      <c r="G15" s="7" t="s">
        <v>24</v>
      </c>
      <c r="H15" s="5" t="s">
        <v>68</v>
      </c>
      <c r="I15" s="5" t="s">
        <v>32</v>
      </c>
    </row>
    <row r="16" customFormat="false" ht="23.85" hidden="false" customHeight="false" outlineLevel="0" collapsed="false">
      <c r="A16" s="4" t="s">
        <v>69</v>
      </c>
      <c r="B16" s="5" t="s">
        <v>44</v>
      </c>
      <c r="C16" s="5" t="s">
        <v>70</v>
      </c>
      <c r="D16" s="5" t="s">
        <v>14</v>
      </c>
      <c r="E16" s="5" t="s">
        <v>71</v>
      </c>
      <c r="F16" s="5" t="s">
        <v>72</v>
      </c>
      <c r="G16" s="7" t="s">
        <v>24</v>
      </c>
      <c r="H16" s="5" t="s">
        <v>73</v>
      </c>
      <c r="I16" s="5" t="s">
        <v>32</v>
      </c>
    </row>
    <row r="17" customFormat="false" ht="23.85" hidden="false" customHeight="false" outlineLevel="0" collapsed="false">
      <c r="A17" s="4" t="s">
        <v>74</v>
      </c>
      <c r="B17" s="5" t="s">
        <v>44</v>
      </c>
      <c r="C17" s="5" t="s">
        <v>75</v>
      </c>
      <c r="D17" s="5" t="s">
        <v>14</v>
      </c>
      <c r="E17" s="5" t="s">
        <v>76</v>
      </c>
      <c r="F17" s="5" t="s">
        <v>77</v>
      </c>
      <c r="G17" s="7" t="s">
        <v>24</v>
      </c>
      <c r="H17" s="5" t="s">
        <v>78</v>
      </c>
      <c r="I17" s="5" t="s">
        <v>32</v>
      </c>
    </row>
    <row r="18" customFormat="false" ht="68.65" hidden="false" customHeight="false" outlineLevel="0" collapsed="false">
      <c r="A18" s="4" t="s">
        <v>79</v>
      </c>
      <c r="B18" s="5" t="s">
        <v>80</v>
      </c>
      <c r="C18" s="5" t="s">
        <v>81</v>
      </c>
      <c r="D18" s="5" t="s">
        <v>14</v>
      </c>
      <c r="E18" s="5" t="s">
        <v>82</v>
      </c>
      <c r="F18" s="5" t="s">
        <v>83</v>
      </c>
      <c r="G18" s="7" t="s">
        <v>24</v>
      </c>
      <c r="H18" s="5" t="s">
        <v>84</v>
      </c>
      <c r="I18" s="5" t="s">
        <v>32</v>
      </c>
    </row>
    <row r="19" customFormat="false" ht="35.05" hidden="false" customHeight="false" outlineLevel="0" collapsed="false">
      <c r="A19" s="4" t="s">
        <v>85</v>
      </c>
      <c r="B19" s="5" t="s">
        <v>80</v>
      </c>
      <c r="C19" s="5" t="s">
        <v>86</v>
      </c>
      <c r="D19" s="5" t="s">
        <v>14</v>
      </c>
      <c r="E19" s="5" t="s">
        <v>87</v>
      </c>
      <c r="F19" s="5" t="s">
        <v>88</v>
      </c>
      <c r="G19" s="7" t="s">
        <v>24</v>
      </c>
      <c r="H19" s="5" t="s">
        <v>89</v>
      </c>
      <c r="I19" s="5" t="s">
        <v>32</v>
      </c>
    </row>
    <row r="20" customFormat="false" ht="23.85" hidden="false" customHeight="false" outlineLevel="0" collapsed="false">
      <c r="A20" s="4" t="s">
        <v>90</v>
      </c>
      <c r="B20" s="5" t="s">
        <v>80</v>
      </c>
      <c r="C20" s="5" t="s">
        <v>91</v>
      </c>
      <c r="D20" s="5" t="s">
        <v>14</v>
      </c>
      <c r="E20" s="5" t="s">
        <v>92</v>
      </c>
      <c r="F20" s="5" t="s">
        <v>93</v>
      </c>
      <c r="G20" s="7" t="s">
        <v>24</v>
      </c>
      <c r="H20" s="5" t="s">
        <v>94</v>
      </c>
      <c r="I20" s="5" t="s">
        <v>32</v>
      </c>
    </row>
    <row r="21" customFormat="false" ht="23.85" hidden="false" customHeight="false" outlineLevel="0" collapsed="false">
      <c r="A21" s="4" t="s">
        <v>95</v>
      </c>
      <c r="B21" s="5" t="s">
        <v>80</v>
      </c>
      <c r="C21" s="5" t="s">
        <v>96</v>
      </c>
      <c r="D21" s="5" t="s">
        <v>14</v>
      </c>
      <c r="E21" s="5" t="s">
        <v>92</v>
      </c>
      <c r="F21" s="5" t="s">
        <v>97</v>
      </c>
      <c r="G21" s="7" t="s">
        <v>24</v>
      </c>
      <c r="H21" s="5" t="s">
        <v>98</v>
      </c>
      <c r="I21" s="5" t="s">
        <v>32</v>
      </c>
    </row>
    <row r="22" customFormat="false" ht="23.85" hidden="false" customHeight="false" outlineLevel="0" collapsed="false">
      <c r="A22" s="4" t="s">
        <v>99</v>
      </c>
      <c r="B22" s="5" t="s">
        <v>80</v>
      </c>
      <c r="C22" s="5" t="s">
        <v>100</v>
      </c>
      <c r="D22" s="5" t="s">
        <v>14</v>
      </c>
      <c r="E22" s="5" t="s">
        <v>92</v>
      </c>
      <c r="F22" s="5" t="s">
        <v>101</v>
      </c>
      <c r="G22" s="7" t="s">
        <v>24</v>
      </c>
      <c r="H22" s="5" t="s">
        <v>102</v>
      </c>
      <c r="I22" s="5" t="s">
        <v>32</v>
      </c>
    </row>
    <row r="23" customFormat="false" ht="35.05" hidden="false" customHeight="false" outlineLevel="0" collapsed="false">
      <c r="A23" s="4" t="s">
        <v>103</v>
      </c>
      <c r="B23" s="5" t="s">
        <v>80</v>
      </c>
      <c r="C23" s="5" t="s">
        <v>104</v>
      </c>
      <c r="D23" s="5" t="s">
        <v>14</v>
      </c>
      <c r="E23" s="5" t="s">
        <v>105</v>
      </c>
      <c r="F23" s="5" t="s">
        <v>106</v>
      </c>
      <c r="G23" s="7" t="s">
        <v>24</v>
      </c>
      <c r="H23" s="5" t="s">
        <v>107</v>
      </c>
      <c r="I23" s="5" t="s">
        <v>108</v>
      </c>
    </row>
    <row r="24" customFormat="false" ht="35.05" hidden="false" customHeight="false" outlineLevel="0" collapsed="false">
      <c r="A24" s="4" t="s">
        <v>109</v>
      </c>
      <c r="B24" s="5" t="s">
        <v>80</v>
      </c>
      <c r="C24" s="5" t="s">
        <v>110</v>
      </c>
      <c r="D24" s="5" t="s">
        <v>14</v>
      </c>
      <c r="E24" s="5" t="s">
        <v>105</v>
      </c>
      <c r="F24" s="5" t="s">
        <v>111</v>
      </c>
      <c r="G24" s="7" t="s">
        <v>24</v>
      </c>
      <c r="H24" s="5" t="s">
        <v>112</v>
      </c>
      <c r="I24" s="5" t="s">
        <v>32</v>
      </c>
    </row>
    <row r="25" customFormat="false" ht="23.85" hidden="false" customHeight="false" outlineLevel="0" collapsed="false">
      <c r="A25" s="4" t="s">
        <v>113</v>
      </c>
      <c r="B25" s="5" t="s">
        <v>80</v>
      </c>
      <c r="C25" s="5" t="s">
        <v>114</v>
      </c>
      <c r="D25" s="5" t="s">
        <v>14</v>
      </c>
      <c r="E25" s="5" t="s">
        <v>105</v>
      </c>
      <c r="F25" s="5" t="s">
        <v>115</v>
      </c>
      <c r="G25" s="7" t="s">
        <v>24</v>
      </c>
      <c r="H25" s="5" t="s">
        <v>116</v>
      </c>
      <c r="I25" s="5" t="s">
        <v>32</v>
      </c>
    </row>
    <row r="26" customFormat="false" ht="23.85" hidden="false" customHeight="false" outlineLevel="0" collapsed="false">
      <c r="A26" s="4" t="s">
        <v>117</v>
      </c>
      <c r="B26" s="5" t="s">
        <v>80</v>
      </c>
      <c r="C26" s="5" t="s">
        <v>118</v>
      </c>
      <c r="D26" s="5" t="s">
        <v>14</v>
      </c>
      <c r="E26" s="5" t="s">
        <v>105</v>
      </c>
      <c r="F26" s="5" t="s">
        <v>119</v>
      </c>
      <c r="G26" s="7" t="s">
        <v>24</v>
      </c>
      <c r="H26" s="5" t="s">
        <v>120</v>
      </c>
      <c r="I26" s="5" t="s">
        <v>121</v>
      </c>
    </row>
    <row r="27" customFormat="false" ht="23.85" hidden="false" customHeight="false" outlineLevel="0" collapsed="false">
      <c r="A27" s="4" t="s">
        <v>122</v>
      </c>
      <c r="B27" s="5" t="s">
        <v>80</v>
      </c>
      <c r="C27" s="5" t="s">
        <v>123</v>
      </c>
      <c r="D27" s="5" t="s">
        <v>14</v>
      </c>
      <c r="E27" s="5" t="s">
        <v>105</v>
      </c>
      <c r="F27" s="5" t="s">
        <v>124</v>
      </c>
      <c r="G27" s="7" t="s">
        <v>24</v>
      </c>
      <c r="H27" s="5" t="s">
        <v>125</v>
      </c>
      <c r="I27" s="5" t="s">
        <v>32</v>
      </c>
    </row>
    <row r="28" customFormat="false" ht="35.05" hidden="false" customHeight="false" outlineLevel="0" collapsed="false">
      <c r="A28" s="4" t="s">
        <v>126</v>
      </c>
      <c r="B28" s="5" t="s">
        <v>80</v>
      </c>
      <c r="C28" s="5" t="s">
        <v>127</v>
      </c>
      <c r="D28" s="5" t="s">
        <v>14</v>
      </c>
      <c r="E28" s="5" t="s">
        <v>128</v>
      </c>
      <c r="F28" s="5" t="s">
        <v>129</v>
      </c>
      <c r="G28" s="7" t="s">
        <v>24</v>
      </c>
      <c r="H28" s="5" t="s">
        <v>130</v>
      </c>
      <c r="I28" s="5" t="s">
        <v>32</v>
      </c>
    </row>
    <row r="29" customFormat="false" ht="23.85" hidden="false" customHeight="false" outlineLevel="0" collapsed="false">
      <c r="A29" s="4" t="s">
        <v>131</v>
      </c>
      <c r="B29" s="5" t="s">
        <v>80</v>
      </c>
      <c r="C29" s="5" t="s">
        <v>132</v>
      </c>
      <c r="D29" s="5" t="s">
        <v>14</v>
      </c>
      <c r="E29" s="5" t="s">
        <v>105</v>
      </c>
      <c r="F29" s="5" t="s">
        <v>133</v>
      </c>
      <c r="G29" s="7" t="s">
        <v>24</v>
      </c>
      <c r="H29" s="5" t="s">
        <v>134</v>
      </c>
      <c r="I29" s="5" t="s">
        <v>32</v>
      </c>
    </row>
    <row r="30" customFormat="false" ht="23.85" hidden="false" customHeight="false" outlineLevel="0" collapsed="false">
      <c r="A30" s="4" t="s">
        <v>135</v>
      </c>
      <c r="B30" s="5" t="s">
        <v>80</v>
      </c>
      <c r="C30" s="5" t="s">
        <v>136</v>
      </c>
      <c r="D30" s="5" t="s">
        <v>14</v>
      </c>
      <c r="E30" s="5" t="s">
        <v>137</v>
      </c>
      <c r="F30" s="5" t="s">
        <v>138</v>
      </c>
      <c r="G30" s="7" t="s">
        <v>24</v>
      </c>
      <c r="H30" s="5" t="s">
        <v>139</v>
      </c>
      <c r="I30" s="5" t="s">
        <v>32</v>
      </c>
    </row>
    <row r="31" customFormat="false" ht="35.05" hidden="false" customHeight="false" outlineLevel="0" collapsed="false">
      <c r="A31" s="4" t="s">
        <v>140</v>
      </c>
      <c r="B31" s="5" t="s">
        <v>80</v>
      </c>
      <c r="C31" s="5" t="s">
        <v>141</v>
      </c>
      <c r="D31" s="5" t="s">
        <v>14</v>
      </c>
      <c r="E31" s="5" t="s">
        <v>137</v>
      </c>
      <c r="F31" s="5" t="s">
        <v>142</v>
      </c>
      <c r="G31" s="7" t="s">
        <v>24</v>
      </c>
      <c r="H31" s="5" t="s">
        <v>143</v>
      </c>
      <c r="I31" s="5" t="s">
        <v>32</v>
      </c>
    </row>
    <row r="32" customFormat="false" ht="23.85" hidden="false" customHeight="false" outlineLevel="0" collapsed="false">
      <c r="A32" s="4" t="s">
        <v>144</v>
      </c>
      <c r="B32" s="5" t="s">
        <v>145</v>
      </c>
      <c r="C32" s="5" t="s">
        <v>146</v>
      </c>
      <c r="D32" s="5" t="s">
        <v>14</v>
      </c>
      <c r="E32" s="5" t="s">
        <v>147</v>
      </c>
      <c r="F32" s="5" t="s">
        <v>148</v>
      </c>
      <c r="G32" s="7" t="s">
        <v>24</v>
      </c>
      <c r="H32" s="5" t="s">
        <v>149</v>
      </c>
      <c r="I32" s="5" t="s">
        <v>38</v>
      </c>
    </row>
    <row r="33" customFormat="false" ht="23.85" hidden="false" customHeight="false" outlineLevel="0" collapsed="false">
      <c r="A33" s="4" t="s">
        <v>150</v>
      </c>
      <c r="B33" s="5" t="s">
        <v>145</v>
      </c>
      <c r="C33" s="5" t="s">
        <v>151</v>
      </c>
      <c r="D33" s="5" t="s">
        <v>14</v>
      </c>
      <c r="E33" s="5" t="s">
        <v>76</v>
      </c>
      <c r="F33" s="5" t="s">
        <v>152</v>
      </c>
      <c r="G33" s="7" t="s">
        <v>24</v>
      </c>
      <c r="H33" s="5" t="s">
        <v>153</v>
      </c>
      <c r="I33" s="5" t="s">
        <v>32</v>
      </c>
    </row>
    <row r="34" customFormat="false" ht="23.85" hidden="false" customHeight="false" outlineLevel="0" collapsed="false">
      <c r="A34" s="4" t="s">
        <v>154</v>
      </c>
      <c r="B34" s="5" t="s">
        <v>145</v>
      </c>
      <c r="C34" s="5" t="s">
        <v>155</v>
      </c>
      <c r="D34" s="5" t="s">
        <v>14</v>
      </c>
      <c r="E34" s="5" t="s">
        <v>156</v>
      </c>
      <c r="F34" s="5" t="s">
        <v>157</v>
      </c>
      <c r="G34" s="7" t="s">
        <v>24</v>
      </c>
      <c r="H34" s="5" t="s">
        <v>158</v>
      </c>
      <c r="I34" s="5" t="s">
        <v>32</v>
      </c>
    </row>
    <row r="35" customFormat="false" ht="23.85" hidden="false" customHeight="false" outlineLevel="0" collapsed="false">
      <c r="A35" s="4" t="s">
        <v>159</v>
      </c>
      <c r="B35" s="5" t="s">
        <v>145</v>
      </c>
      <c r="C35" s="5" t="s">
        <v>160</v>
      </c>
      <c r="D35" s="5" t="s">
        <v>14</v>
      </c>
      <c r="E35" s="5" t="s">
        <v>161</v>
      </c>
      <c r="F35" s="5" t="s">
        <v>162</v>
      </c>
      <c r="G35" s="7" t="s">
        <v>24</v>
      </c>
      <c r="H35" s="5" t="s">
        <v>163</v>
      </c>
      <c r="I35" s="5" t="s">
        <v>32</v>
      </c>
    </row>
    <row r="36" customFormat="false" ht="23.85" hidden="false" customHeight="false" outlineLevel="0" collapsed="false">
      <c r="A36" s="4" t="s">
        <v>164</v>
      </c>
      <c r="B36" s="5" t="s">
        <v>145</v>
      </c>
      <c r="C36" s="5" t="s">
        <v>165</v>
      </c>
      <c r="D36" s="5" t="s">
        <v>14</v>
      </c>
      <c r="E36" s="5" t="s">
        <v>76</v>
      </c>
      <c r="F36" s="5" t="s">
        <v>166</v>
      </c>
      <c r="G36" s="7" t="s">
        <v>24</v>
      </c>
      <c r="H36" s="5" t="s">
        <v>167</v>
      </c>
      <c r="I36" s="5" t="s">
        <v>32</v>
      </c>
    </row>
    <row r="37" customFormat="false" ht="57.45" hidden="false" customHeight="false" outlineLevel="0" collapsed="false">
      <c r="A37" s="4" t="s">
        <v>168</v>
      </c>
      <c r="B37" s="5" t="s">
        <v>169</v>
      </c>
      <c r="C37" s="5" t="s">
        <v>170</v>
      </c>
      <c r="D37" s="5" t="s">
        <v>14</v>
      </c>
      <c r="E37" s="5" t="s">
        <v>171</v>
      </c>
      <c r="F37" s="5" t="s">
        <v>172</v>
      </c>
      <c r="G37" s="7" t="s">
        <v>24</v>
      </c>
      <c r="H37" s="5" t="s">
        <v>173</v>
      </c>
      <c r="I37" s="5" t="s">
        <v>32</v>
      </c>
    </row>
    <row r="38" customFormat="false" ht="35.05" hidden="false" customHeight="false" outlineLevel="0" collapsed="false">
      <c r="A38" s="4" t="s">
        <v>174</v>
      </c>
      <c r="B38" s="5" t="s">
        <v>169</v>
      </c>
      <c r="C38" s="5" t="s">
        <v>175</v>
      </c>
      <c r="D38" s="5" t="s">
        <v>14</v>
      </c>
      <c r="E38" s="5" t="s">
        <v>176</v>
      </c>
      <c r="F38" s="5" t="s">
        <v>177</v>
      </c>
      <c r="G38" s="7" t="s">
        <v>24</v>
      </c>
      <c r="H38" s="5" t="s">
        <v>178</v>
      </c>
      <c r="I38" s="5" t="s">
        <v>32</v>
      </c>
    </row>
    <row r="39" customFormat="false" ht="46.25" hidden="false" customHeight="false" outlineLevel="0" collapsed="false">
      <c r="A39" s="4" t="s">
        <v>179</v>
      </c>
      <c r="B39" s="5" t="s">
        <v>169</v>
      </c>
      <c r="C39" s="5" t="s">
        <v>180</v>
      </c>
      <c r="D39" s="5" t="s">
        <v>14</v>
      </c>
      <c r="E39" s="5" t="s">
        <v>176</v>
      </c>
      <c r="F39" s="5" t="s">
        <v>181</v>
      </c>
      <c r="G39" s="7" t="s">
        <v>24</v>
      </c>
      <c r="H39" s="5" t="s">
        <v>182</v>
      </c>
      <c r="I39" s="5" t="s">
        <v>32</v>
      </c>
    </row>
    <row r="40" customFormat="false" ht="23.85" hidden="false" customHeight="false" outlineLevel="0" collapsed="false">
      <c r="A40" s="4" t="s">
        <v>183</v>
      </c>
      <c r="B40" s="5" t="s">
        <v>169</v>
      </c>
      <c r="C40" s="5" t="s">
        <v>184</v>
      </c>
      <c r="D40" s="5" t="s">
        <v>14</v>
      </c>
      <c r="E40" s="5" t="s">
        <v>176</v>
      </c>
      <c r="F40" s="5" t="s">
        <v>185</v>
      </c>
      <c r="G40" s="7" t="s">
        <v>24</v>
      </c>
      <c r="H40" s="5" t="s">
        <v>186</v>
      </c>
      <c r="I40" s="5" t="s">
        <v>187</v>
      </c>
    </row>
    <row r="41" customFormat="false" ht="23.85" hidden="false" customHeight="false" outlineLevel="0" collapsed="false">
      <c r="A41" s="4" t="s">
        <v>188</v>
      </c>
      <c r="B41" s="5" t="s">
        <v>169</v>
      </c>
      <c r="C41" s="5" t="s">
        <v>189</v>
      </c>
      <c r="D41" s="5" t="s">
        <v>14</v>
      </c>
      <c r="E41" s="5" t="s">
        <v>176</v>
      </c>
      <c r="F41" s="5" t="s">
        <v>190</v>
      </c>
      <c r="G41" s="7" t="s">
        <v>24</v>
      </c>
      <c r="H41" s="5" t="s">
        <v>191</v>
      </c>
      <c r="I41" s="5" t="s">
        <v>32</v>
      </c>
    </row>
    <row r="42" customFormat="false" ht="15" hidden="false" customHeight="false" outlineLevel="0" collapsed="false">
      <c r="A42" s="4" t="s">
        <v>192</v>
      </c>
      <c r="B42" s="5" t="s">
        <v>169</v>
      </c>
      <c r="C42" s="5" t="s">
        <v>193</v>
      </c>
      <c r="D42" s="5" t="s">
        <v>14</v>
      </c>
      <c r="E42" s="5" t="s">
        <v>176</v>
      </c>
      <c r="F42" s="5" t="s">
        <v>194</v>
      </c>
      <c r="G42" s="7" t="s">
        <v>24</v>
      </c>
      <c r="H42" s="5" t="s">
        <v>195</v>
      </c>
      <c r="I42" s="5" t="s">
        <v>32</v>
      </c>
    </row>
    <row r="43" customFormat="false" ht="23.85" hidden="false" customHeight="false" outlineLevel="0" collapsed="false">
      <c r="A43" s="4" t="s">
        <v>196</v>
      </c>
      <c r="B43" s="5" t="s">
        <v>197</v>
      </c>
      <c r="C43" s="5" t="s">
        <v>198</v>
      </c>
      <c r="D43" s="5" t="s">
        <v>14</v>
      </c>
      <c r="E43" s="5" t="s">
        <v>199</v>
      </c>
      <c r="F43" s="5" t="s">
        <v>200</v>
      </c>
      <c r="G43" s="7" t="s">
        <v>24</v>
      </c>
      <c r="H43" s="5" t="s">
        <v>201</v>
      </c>
      <c r="I43" s="5" t="s">
        <v>202</v>
      </c>
    </row>
    <row r="44" customFormat="false" ht="23.85" hidden="false" customHeight="false" outlineLevel="0" collapsed="false">
      <c r="A44" s="4" t="s">
        <v>203</v>
      </c>
      <c r="B44" s="5" t="s">
        <v>197</v>
      </c>
      <c r="C44" s="5" t="s">
        <v>204</v>
      </c>
      <c r="D44" s="5" t="s">
        <v>14</v>
      </c>
      <c r="E44" s="5" t="s">
        <v>205</v>
      </c>
      <c r="F44" s="5" t="s">
        <v>206</v>
      </c>
      <c r="G44" s="7" t="s">
        <v>24</v>
      </c>
      <c r="H44" s="5" t="s">
        <v>207</v>
      </c>
      <c r="I44" s="5" t="s">
        <v>32</v>
      </c>
    </row>
    <row r="45" customFormat="false" ht="23.85" hidden="false" customHeight="false" outlineLevel="0" collapsed="false">
      <c r="A45" s="4" t="s">
        <v>208</v>
      </c>
      <c r="B45" s="5" t="s">
        <v>197</v>
      </c>
      <c r="C45" s="5" t="s">
        <v>209</v>
      </c>
      <c r="D45" s="5" t="s">
        <v>14</v>
      </c>
      <c r="E45" s="5" t="s">
        <v>210</v>
      </c>
      <c r="F45" s="5" t="s">
        <v>211</v>
      </c>
      <c r="G45" s="7" t="s">
        <v>24</v>
      </c>
      <c r="H45" s="5" t="s">
        <v>212</v>
      </c>
      <c r="I45" s="5" t="s">
        <v>32</v>
      </c>
    </row>
    <row r="46" customFormat="false" ht="23.85" hidden="false" customHeight="false" outlineLevel="0" collapsed="false">
      <c r="A46" s="4" t="s">
        <v>213</v>
      </c>
      <c r="B46" s="5" t="s">
        <v>197</v>
      </c>
      <c r="C46" s="5" t="s">
        <v>214</v>
      </c>
      <c r="D46" s="5" t="s">
        <v>14</v>
      </c>
      <c r="E46" s="5" t="s">
        <v>215</v>
      </c>
      <c r="F46" s="5" t="s">
        <v>216</v>
      </c>
      <c r="G46" s="7" t="s">
        <v>24</v>
      </c>
      <c r="H46" s="5" t="s">
        <v>217</v>
      </c>
      <c r="I46" s="5" t="s">
        <v>218</v>
      </c>
    </row>
    <row r="47" customFormat="false" ht="46.25" hidden="false" customHeight="false" outlineLevel="0" collapsed="false">
      <c r="A47" s="4" t="s">
        <v>219</v>
      </c>
      <c r="B47" s="5" t="s">
        <v>197</v>
      </c>
      <c r="C47" s="5" t="s">
        <v>220</v>
      </c>
      <c r="D47" s="5" t="s">
        <v>14</v>
      </c>
      <c r="E47" s="5" t="s">
        <v>221</v>
      </c>
      <c r="F47" s="5" t="s">
        <v>222</v>
      </c>
      <c r="G47" s="7" t="s">
        <v>24</v>
      </c>
      <c r="H47" s="5" t="s">
        <v>223</v>
      </c>
      <c r="I47" s="5" t="s">
        <v>224</v>
      </c>
    </row>
    <row r="48" customFormat="false" ht="23.85" hidden="false" customHeight="false" outlineLevel="0" collapsed="false">
      <c r="A48" s="4" t="s">
        <v>225</v>
      </c>
      <c r="B48" s="5" t="s">
        <v>197</v>
      </c>
      <c r="C48" s="5" t="s">
        <v>226</v>
      </c>
      <c r="D48" s="5" t="s">
        <v>14</v>
      </c>
      <c r="E48" s="5" t="s">
        <v>227</v>
      </c>
      <c r="F48" s="5" t="s">
        <v>228</v>
      </c>
      <c r="G48" s="7" t="s">
        <v>24</v>
      </c>
      <c r="H48" s="5" t="s">
        <v>229</v>
      </c>
      <c r="I48" s="5" t="s">
        <v>32</v>
      </c>
    </row>
    <row r="49" customFormat="false" ht="35.05" hidden="false" customHeight="false" outlineLevel="0" collapsed="false">
      <c r="A49" s="4" t="s">
        <v>230</v>
      </c>
      <c r="B49" s="5" t="s">
        <v>197</v>
      </c>
      <c r="C49" s="5" t="s">
        <v>231</v>
      </c>
      <c r="D49" s="5" t="s">
        <v>14</v>
      </c>
      <c r="E49" s="5" t="s">
        <v>210</v>
      </c>
      <c r="F49" s="5" t="s">
        <v>232</v>
      </c>
      <c r="G49" s="7" t="s">
        <v>24</v>
      </c>
      <c r="H49" s="5" t="s">
        <v>233</v>
      </c>
      <c r="I49" s="5" t="s">
        <v>32</v>
      </c>
    </row>
    <row r="50" customFormat="false" ht="23.85" hidden="false" customHeight="false" outlineLevel="0" collapsed="false">
      <c r="A50" s="4" t="s">
        <v>234</v>
      </c>
      <c r="B50" s="5" t="s">
        <v>197</v>
      </c>
      <c r="C50" s="5" t="s">
        <v>235</v>
      </c>
      <c r="D50" s="5" t="s">
        <v>14</v>
      </c>
      <c r="E50" s="5" t="s">
        <v>236</v>
      </c>
      <c r="F50" s="5" t="s">
        <v>237</v>
      </c>
      <c r="G50" s="7" t="s">
        <v>24</v>
      </c>
      <c r="H50" s="5" t="s">
        <v>238</v>
      </c>
      <c r="I50" s="5" t="s">
        <v>239</v>
      </c>
    </row>
    <row r="51" customFormat="false" ht="35.05" hidden="false" customHeight="false" outlineLevel="0" collapsed="false">
      <c r="A51" s="4" t="s">
        <v>240</v>
      </c>
      <c r="B51" s="5" t="s">
        <v>197</v>
      </c>
      <c r="C51" s="5" t="s">
        <v>241</v>
      </c>
      <c r="D51" s="5" t="s">
        <v>14</v>
      </c>
      <c r="E51" s="5" t="s">
        <v>221</v>
      </c>
      <c r="F51" s="5" t="s">
        <v>242</v>
      </c>
      <c r="G51" s="7" t="s">
        <v>24</v>
      </c>
      <c r="H51" s="5" t="s">
        <v>243</v>
      </c>
      <c r="I51" s="5" t="s">
        <v>32</v>
      </c>
    </row>
    <row r="52" customFormat="false" ht="46.25" hidden="false" customHeight="false" outlineLevel="0" collapsed="false">
      <c r="A52" s="4" t="s">
        <v>244</v>
      </c>
      <c r="B52" s="5" t="s">
        <v>197</v>
      </c>
      <c r="C52" s="5" t="s">
        <v>245</v>
      </c>
      <c r="D52" s="5" t="s">
        <v>14</v>
      </c>
      <c r="E52" s="5" t="s">
        <v>246</v>
      </c>
      <c r="F52" s="5" t="s">
        <v>247</v>
      </c>
      <c r="G52" s="7" t="s">
        <v>24</v>
      </c>
      <c r="H52" s="5" t="s">
        <v>248</v>
      </c>
      <c r="I52" s="5" t="s">
        <v>202</v>
      </c>
    </row>
    <row r="53" customFormat="false" ht="35.05" hidden="false" customHeight="false" outlineLevel="0" collapsed="false">
      <c r="A53" s="4" t="s">
        <v>249</v>
      </c>
      <c r="B53" s="5" t="s">
        <v>250</v>
      </c>
      <c r="C53" s="5" t="s">
        <v>251</v>
      </c>
      <c r="D53" s="5" t="s">
        <v>14</v>
      </c>
      <c r="E53" s="5" t="s">
        <v>246</v>
      </c>
      <c r="F53" s="5" t="s">
        <v>252</v>
      </c>
      <c r="G53" s="7" t="s">
        <v>24</v>
      </c>
      <c r="H53" s="5" t="s">
        <v>253</v>
      </c>
      <c r="I53" s="5" t="s">
        <v>32</v>
      </c>
    </row>
    <row r="54" customFormat="false" ht="46.25" hidden="false" customHeight="false" outlineLevel="0" collapsed="false">
      <c r="A54" s="4" t="s">
        <v>254</v>
      </c>
      <c r="B54" s="5" t="s">
        <v>250</v>
      </c>
      <c r="C54" s="5" t="s">
        <v>255</v>
      </c>
      <c r="D54" s="5" t="s">
        <v>14</v>
      </c>
      <c r="E54" s="5" t="s">
        <v>246</v>
      </c>
      <c r="F54" s="5" t="s">
        <v>256</v>
      </c>
      <c r="G54" s="7" t="s">
        <v>24</v>
      </c>
      <c r="H54" s="5" t="s">
        <v>257</v>
      </c>
      <c r="I54" s="5" t="s">
        <v>32</v>
      </c>
    </row>
    <row r="55" customFormat="false" ht="23.85" hidden="false" customHeight="false" outlineLevel="0" collapsed="false">
      <c r="A55" s="4" t="s">
        <v>258</v>
      </c>
      <c r="B55" s="5" t="s">
        <v>250</v>
      </c>
      <c r="C55" s="5" t="s">
        <v>259</v>
      </c>
      <c r="D55" s="5" t="s">
        <v>14</v>
      </c>
      <c r="E55" s="5" t="s">
        <v>246</v>
      </c>
      <c r="F55" s="5" t="s">
        <v>260</v>
      </c>
      <c r="G55" s="7" t="s">
        <v>24</v>
      </c>
      <c r="H55" s="5" t="s">
        <v>261</v>
      </c>
      <c r="I55" s="5" t="s">
        <v>202</v>
      </c>
    </row>
    <row r="56" customFormat="false" ht="23.85" hidden="false" customHeight="false" outlineLevel="0" collapsed="false">
      <c r="A56" s="4" t="s">
        <v>262</v>
      </c>
      <c r="B56" s="5" t="s">
        <v>250</v>
      </c>
      <c r="C56" s="5" t="s">
        <v>263</v>
      </c>
      <c r="D56" s="5" t="s">
        <v>14</v>
      </c>
      <c r="E56" s="5" t="s">
        <v>246</v>
      </c>
      <c r="F56" s="5" t="s">
        <v>264</v>
      </c>
      <c r="G56" s="7" t="s">
        <v>24</v>
      </c>
      <c r="H56" s="5" t="s">
        <v>265</v>
      </c>
      <c r="I56" s="5" t="s">
        <v>266</v>
      </c>
    </row>
    <row r="57" customFormat="false" ht="23.85" hidden="false" customHeight="false" outlineLevel="0" collapsed="false">
      <c r="A57" s="4" t="s">
        <v>267</v>
      </c>
      <c r="B57" s="5" t="s">
        <v>250</v>
      </c>
      <c r="C57" s="5" t="s">
        <v>268</v>
      </c>
      <c r="D57" s="5" t="s">
        <v>269</v>
      </c>
      <c r="E57" s="5" t="s">
        <v>270</v>
      </c>
      <c r="F57" s="5" t="s">
        <v>271</v>
      </c>
      <c r="G57" s="7" t="s">
        <v>24</v>
      </c>
      <c r="H57" s="5" t="s">
        <v>272</v>
      </c>
      <c r="I57" s="5" t="s">
        <v>273</v>
      </c>
    </row>
    <row r="58" customFormat="false" ht="23.85" hidden="false" customHeight="false" outlineLevel="0" collapsed="false">
      <c r="A58" s="4" t="s">
        <v>274</v>
      </c>
      <c r="B58" s="5" t="s">
        <v>250</v>
      </c>
      <c r="C58" s="5" t="s">
        <v>275</v>
      </c>
      <c r="D58" s="5" t="s">
        <v>269</v>
      </c>
      <c r="E58" s="5" t="s">
        <v>246</v>
      </c>
      <c r="F58" s="5" t="s">
        <v>276</v>
      </c>
      <c r="G58" s="7" t="s">
        <v>24</v>
      </c>
      <c r="H58" s="5" t="s">
        <v>277</v>
      </c>
      <c r="I58" s="5" t="s">
        <v>278</v>
      </c>
    </row>
    <row r="59" customFormat="false" ht="23.85" hidden="false" customHeight="false" outlineLevel="0" collapsed="false">
      <c r="A59" s="4" t="s">
        <v>279</v>
      </c>
      <c r="B59" s="5" t="s">
        <v>250</v>
      </c>
      <c r="C59" s="5" t="s">
        <v>280</v>
      </c>
      <c r="D59" s="5" t="s">
        <v>269</v>
      </c>
      <c r="E59" s="5" t="s">
        <v>246</v>
      </c>
      <c r="F59" s="5" t="s">
        <v>281</v>
      </c>
      <c r="G59" s="7" t="s">
        <v>24</v>
      </c>
      <c r="H59" s="5" t="s">
        <v>282</v>
      </c>
      <c r="I59" s="5" t="s">
        <v>239</v>
      </c>
    </row>
    <row r="60" customFormat="false" ht="46.25" hidden="false" customHeight="false" outlineLevel="0" collapsed="false">
      <c r="A60" s="4" t="s">
        <v>283</v>
      </c>
      <c r="B60" s="5" t="s">
        <v>284</v>
      </c>
      <c r="C60" s="5" t="s">
        <v>285</v>
      </c>
      <c r="D60" s="5" t="s">
        <v>269</v>
      </c>
      <c r="E60" s="5" t="s">
        <v>286</v>
      </c>
      <c r="F60" s="5" t="s">
        <v>287</v>
      </c>
      <c r="G60" s="7" t="s">
        <v>24</v>
      </c>
      <c r="H60" s="5" t="s">
        <v>288</v>
      </c>
      <c r="I60" s="5" t="s">
        <v>273</v>
      </c>
    </row>
    <row r="61" customFormat="false" ht="23.85" hidden="false" customHeight="false" outlineLevel="0" collapsed="false">
      <c r="A61" s="4" t="s">
        <v>289</v>
      </c>
      <c r="B61" s="5" t="s">
        <v>284</v>
      </c>
      <c r="C61" s="5" t="s">
        <v>290</v>
      </c>
      <c r="D61" s="5" t="s">
        <v>269</v>
      </c>
      <c r="E61" s="5" t="s">
        <v>286</v>
      </c>
      <c r="F61" s="5" t="s">
        <v>291</v>
      </c>
      <c r="G61" s="7" t="s">
        <v>24</v>
      </c>
      <c r="H61" s="5" t="s">
        <v>292</v>
      </c>
      <c r="I61" s="5" t="s">
        <v>32</v>
      </c>
    </row>
    <row r="62" customFormat="false" ht="35.05" hidden="false" customHeight="false" outlineLevel="0" collapsed="false">
      <c r="A62" s="4" t="s">
        <v>293</v>
      </c>
      <c r="B62" s="5" t="s">
        <v>284</v>
      </c>
      <c r="C62" s="5" t="s">
        <v>294</v>
      </c>
      <c r="D62" s="5" t="s">
        <v>269</v>
      </c>
      <c r="E62" s="5" t="s">
        <v>286</v>
      </c>
      <c r="F62" s="5" t="s">
        <v>295</v>
      </c>
      <c r="G62" s="7" t="s">
        <v>24</v>
      </c>
      <c r="H62" s="5" t="s">
        <v>296</v>
      </c>
      <c r="I62" s="5" t="s">
        <v>32</v>
      </c>
    </row>
    <row r="63" customFormat="false" ht="23.85" hidden="false" customHeight="false" outlineLevel="0" collapsed="false">
      <c r="A63" s="4" t="s">
        <v>297</v>
      </c>
      <c r="B63" s="5" t="s">
        <v>284</v>
      </c>
      <c r="C63" s="5" t="s">
        <v>298</v>
      </c>
      <c r="D63" s="5" t="s">
        <v>269</v>
      </c>
      <c r="E63" s="5" t="s">
        <v>270</v>
      </c>
      <c r="F63" s="5" t="s">
        <v>299</v>
      </c>
      <c r="G63" s="7" t="s">
        <v>24</v>
      </c>
      <c r="H63" s="5" t="s">
        <v>300</v>
      </c>
      <c r="I63" s="5" t="s">
        <v>273</v>
      </c>
    </row>
    <row r="64" customFormat="false" ht="23.85" hidden="false" customHeight="false" outlineLevel="0" collapsed="false">
      <c r="A64" s="4" t="s">
        <v>301</v>
      </c>
      <c r="B64" s="5" t="s">
        <v>302</v>
      </c>
      <c r="C64" s="5" t="s">
        <v>303</v>
      </c>
      <c r="D64" s="5" t="s">
        <v>14</v>
      </c>
      <c r="E64" s="5" t="s">
        <v>304</v>
      </c>
      <c r="F64" s="5" t="s">
        <v>305</v>
      </c>
      <c r="G64" s="7" t="s">
        <v>24</v>
      </c>
      <c r="H64" s="5" t="s">
        <v>306</v>
      </c>
      <c r="I64" s="5" t="s">
        <v>32</v>
      </c>
    </row>
    <row r="65" customFormat="false" ht="23.85" hidden="false" customHeight="false" outlineLevel="0" collapsed="false">
      <c r="A65" s="4" t="s">
        <v>307</v>
      </c>
      <c r="B65" s="5" t="s">
        <v>302</v>
      </c>
      <c r="C65" s="5" t="s">
        <v>308</v>
      </c>
      <c r="D65" s="5" t="s">
        <v>14</v>
      </c>
      <c r="E65" s="5" t="s">
        <v>309</v>
      </c>
      <c r="F65" s="5" t="s">
        <v>310</v>
      </c>
      <c r="G65" s="7" t="s">
        <v>24</v>
      </c>
      <c r="H65" s="5" t="s">
        <v>311</v>
      </c>
      <c r="I65" s="5" t="s">
        <v>312</v>
      </c>
    </row>
    <row r="66" customFormat="false" ht="57.45" hidden="false" customHeight="false" outlineLevel="0" collapsed="false">
      <c r="A66" s="4" t="s">
        <v>313</v>
      </c>
      <c r="B66" s="5" t="s">
        <v>302</v>
      </c>
      <c r="C66" s="5" t="s">
        <v>314</v>
      </c>
      <c r="D66" s="5" t="s">
        <v>14</v>
      </c>
      <c r="E66" s="5" t="s">
        <v>304</v>
      </c>
      <c r="F66" s="5" t="s">
        <v>315</v>
      </c>
      <c r="G66" s="7" t="s">
        <v>24</v>
      </c>
      <c r="H66" s="5" t="s">
        <v>316</v>
      </c>
      <c r="I66" s="5" t="s">
        <v>32</v>
      </c>
    </row>
    <row r="67" customFormat="false" ht="35.05" hidden="false" customHeight="false" outlineLevel="0" collapsed="false">
      <c r="A67" s="4" t="s">
        <v>317</v>
      </c>
      <c r="B67" s="5" t="s">
        <v>302</v>
      </c>
      <c r="C67" s="5" t="s">
        <v>318</v>
      </c>
      <c r="D67" s="5" t="s">
        <v>269</v>
      </c>
      <c r="E67" s="5" t="s">
        <v>304</v>
      </c>
      <c r="F67" s="5" t="s">
        <v>319</v>
      </c>
      <c r="G67" s="7" t="s">
        <v>24</v>
      </c>
      <c r="H67" s="5" t="s">
        <v>320</v>
      </c>
      <c r="I67" s="5" t="s">
        <v>32</v>
      </c>
    </row>
    <row r="68" customFormat="false" ht="35.05" hidden="false" customHeight="false" outlineLevel="0" collapsed="false">
      <c r="A68" s="4" t="s">
        <v>321</v>
      </c>
      <c r="B68" s="5" t="s">
        <v>322</v>
      </c>
      <c r="C68" s="5" t="s">
        <v>323</v>
      </c>
      <c r="D68" s="5" t="s">
        <v>14</v>
      </c>
      <c r="E68" s="5" t="s">
        <v>324</v>
      </c>
      <c r="F68" s="5" t="s">
        <v>325</v>
      </c>
      <c r="G68" s="6" t="s">
        <v>17</v>
      </c>
      <c r="H68" s="5" t="s">
        <v>326</v>
      </c>
      <c r="I68" s="5" t="s">
        <v>327</v>
      </c>
    </row>
    <row r="69" customFormat="false" ht="23.85" hidden="false" customHeight="false" outlineLevel="0" collapsed="false">
      <c r="A69" s="4" t="s">
        <v>328</v>
      </c>
      <c r="B69" s="5" t="s">
        <v>322</v>
      </c>
      <c r="C69" s="5" t="s">
        <v>329</v>
      </c>
      <c r="D69" s="5" t="s">
        <v>14</v>
      </c>
      <c r="E69" s="5" t="s">
        <v>324</v>
      </c>
      <c r="F69" s="5" t="s">
        <v>330</v>
      </c>
      <c r="G69" s="6" t="s">
        <v>17</v>
      </c>
      <c r="H69" s="5" t="s">
        <v>331</v>
      </c>
      <c r="I69" s="5" t="s">
        <v>332</v>
      </c>
    </row>
    <row r="70" customFormat="false" ht="35.05" hidden="false" customHeight="false" outlineLevel="0" collapsed="false">
      <c r="A70" s="4" t="s">
        <v>333</v>
      </c>
      <c r="B70" s="5" t="s">
        <v>322</v>
      </c>
      <c r="C70" s="5" t="s">
        <v>334</v>
      </c>
      <c r="D70" s="5" t="s">
        <v>14</v>
      </c>
      <c r="E70" s="5" t="s">
        <v>324</v>
      </c>
      <c r="F70" s="5" t="s">
        <v>335</v>
      </c>
      <c r="G70" s="7" t="s">
        <v>24</v>
      </c>
      <c r="H70" s="5" t="s">
        <v>336</v>
      </c>
      <c r="I70" s="5" t="s">
        <v>337</v>
      </c>
    </row>
    <row r="71" customFormat="false" ht="23.85" hidden="false" customHeight="false" outlineLevel="0" collapsed="false">
      <c r="A71" s="4" t="s">
        <v>338</v>
      </c>
      <c r="B71" s="5" t="s">
        <v>339</v>
      </c>
      <c r="C71" s="5" t="s">
        <v>340</v>
      </c>
      <c r="D71" s="5" t="s">
        <v>14</v>
      </c>
      <c r="E71" s="5" t="s">
        <v>341</v>
      </c>
      <c r="F71" s="5" t="s">
        <v>342</v>
      </c>
      <c r="G71" s="6" t="s">
        <v>17</v>
      </c>
      <c r="H71" s="5" t="s">
        <v>343</v>
      </c>
      <c r="I71" s="5" t="s">
        <v>344</v>
      </c>
    </row>
    <row r="72" customFormat="false" ht="46.25" hidden="false" customHeight="false" outlineLevel="0" collapsed="false">
      <c r="A72" s="4" t="s">
        <v>345</v>
      </c>
      <c r="B72" s="5" t="s">
        <v>339</v>
      </c>
      <c r="C72" s="5" t="s">
        <v>346</v>
      </c>
      <c r="D72" s="5" t="s">
        <v>14</v>
      </c>
      <c r="E72" s="5" t="s">
        <v>347</v>
      </c>
      <c r="F72" s="5" t="s">
        <v>348</v>
      </c>
      <c r="G72" s="6" t="s">
        <v>17</v>
      </c>
      <c r="H72" s="5" t="s">
        <v>349</v>
      </c>
      <c r="I72" s="5" t="s">
        <v>350</v>
      </c>
    </row>
    <row r="73" customFormat="false" ht="57.45" hidden="false" customHeight="false" outlineLevel="0" collapsed="false">
      <c r="A73" s="4" t="s">
        <v>351</v>
      </c>
      <c r="B73" s="5" t="s">
        <v>339</v>
      </c>
      <c r="C73" s="5" t="s">
        <v>352</v>
      </c>
      <c r="D73" s="5" t="s">
        <v>14</v>
      </c>
      <c r="E73" s="5" t="s">
        <v>353</v>
      </c>
      <c r="F73" s="5" t="s">
        <v>354</v>
      </c>
      <c r="G73" s="6" t="s">
        <v>17</v>
      </c>
      <c r="H73" s="5" t="s">
        <v>355</v>
      </c>
      <c r="I73" s="5" t="s">
        <v>356</v>
      </c>
    </row>
    <row r="74" customFormat="false" ht="23.85" hidden="false" customHeight="false" outlineLevel="0" collapsed="false">
      <c r="A74" s="4" t="s">
        <v>357</v>
      </c>
      <c r="B74" s="5" t="s">
        <v>339</v>
      </c>
      <c r="C74" s="5" t="s">
        <v>358</v>
      </c>
      <c r="D74" s="5" t="s">
        <v>14</v>
      </c>
      <c r="E74" s="5" t="s">
        <v>353</v>
      </c>
      <c r="F74" s="5" t="s">
        <v>359</v>
      </c>
      <c r="G74" s="7" t="s">
        <v>24</v>
      </c>
      <c r="H74" s="5" t="s">
        <v>360</v>
      </c>
      <c r="I74" s="5" t="s">
        <v>32</v>
      </c>
    </row>
    <row r="75" customFormat="false" ht="35.05" hidden="false" customHeight="false" outlineLevel="0" collapsed="false">
      <c r="A75" s="4" t="s">
        <v>361</v>
      </c>
      <c r="B75" s="5" t="s">
        <v>339</v>
      </c>
      <c r="C75" s="5" t="s">
        <v>362</v>
      </c>
      <c r="D75" s="5" t="s">
        <v>14</v>
      </c>
      <c r="E75" s="5" t="s">
        <v>347</v>
      </c>
      <c r="F75" s="5" t="s">
        <v>363</v>
      </c>
      <c r="G75" s="7" t="s">
        <v>24</v>
      </c>
      <c r="H75" s="5" t="s">
        <v>364</v>
      </c>
      <c r="I75" s="5" t="s">
        <v>365</v>
      </c>
    </row>
    <row r="76" customFormat="false" ht="23.85" hidden="false" customHeight="false" outlineLevel="0" collapsed="false">
      <c r="A76" s="4" t="s">
        <v>366</v>
      </c>
      <c r="B76" s="5" t="s">
        <v>339</v>
      </c>
      <c r="C76" s="5" t="s">
        <v>367</v>
      </c>
      <c r="D76" s="5" t="s">
        <v>14</v>
      </c>
      <c r="E76" s="5" t="s">
        <v>368</v>
      </c>
      <c r="F76" s="5" t="s">
        <v>369</v>
      </c>
      <c r="G76" s="7" t="s">
        <v>24</v>
      </c>
      <c r="H76" s="5" t="s">
        <v>370</v>
      </c>
      <c r="I76" s="5" t="s">
        <v>32</v>
      </c>
    </row>
    <row r="77" customFormat="false" ht="35.05" hidden="false" customHeight="false" outlineLevel="0" collapsed="false">
      <c r="A77" s="4" t="s">
        <v>371</v>
      </c>
      <c r="B77" s="5" t="s">
        <v>339</v>
      </c>
      <c r="C77" s="5" t="s">
        <v>372</v>
      </c>
      <c r="D77" s="5" t="s">
        <v>14</v>
      </c>
      <c r="E77" s="5" t="s">
        <v>22</v>
      </c>
      <c r="F77" s="5" t="s">
        <v>373</v>
      </c>
      <c r="G77" s="6" t="s">
        <v>17</v>
      </c>
      <c r="H77" s="5" t="s">
        <v>343</v>
      </c>
      <c r="I77" s="5" t="s">
        <v>218</v>
      </c>
    </row>
    <row r="78" customFormat="false" ht="23.85" hidden="false" customHeight="false" outlineLevel="0" collapsed="false">
      <c r="A78" s="4" t="s">
        <v>374</v>
      </c>
      <c r="B78" s="5" t="s">
        <v>339</v>
      </c>
      <c r="C78" s="5" t="s">
        <v>375</v>
      </c>
      <c r="D78" s="5" t="s">
        <v>14</v>
      </c>
      <c r="E78" s="5" t="s">
        <v>376</v>
      </c>
      <c r="F78" s="5" t="s">
        <v>377</v>
      </c>
      <c r="G78" s="7" t="s">
        <v>24</v>
      </c>
      <c r="H78" s="5" t="s">
        <v>378</v>
      </c>
      <c r="I78" s="5" t="s">
        <v>365</v>
      </c>
    </row>
    <row r="79" customFormat="false" ht="23.85" hidden="false" customHeight="false" outlineLevel="0" collapsed="false">
      <c r="A79" s="4" t="s">
        <v>379</v>
      </c>
      <c r="B79" s="5" t="s">
        <v>380</v>
      </c>
      <c r="C79" s="5" t="s">
        <v>381</v>
      </c>
      <c r="D79" s="5" t="s">
        <v>14</v>
      </c>
      <c r="E79" s="5" t="s">
        <v>382</v>
      </c>
      <c r="F79" s="5" t="s">
        <v>383</v>
      </c>
      <c r="G79" s="7" t="s">
        <v>24</v>
      </c>
      <c r="H79" s="5" t="s">
        <v>384</v>
      </c>
      <c r="I79" s="5" t="s">
        <v>32</v>
      </c>
    </row>
    <row r="80" customFormat="false" ht="23.85" hidden="false" customHeight="false" outlineLevel="0" collapsed="false">
      <c r="A80" s="4" t="s">
        <v>385</v>
      </c>
      <c r="B80" s="5" t="s">
        <v>380</v>
      </c>
      <c r="C80" s="5" t="s">
        <v>386</v>
      </c>
      <c r="D80" s="5" t="s">
        <v>14</v>
      </c>
      <c r="E80" s="5" t="s">
        <v>382</v>
      </c>
      <c r="F80" s="5" t="s">
        <v>387</v>
      </c>
      <c r="G80" s="6" t="s">
        <v>17</v>
      </c>
      <c r="H80" s="5" t="s">
        <v>388</v>
      </c>
      <c r="I80" s="5" t="s">
        <v>389</v>
      </c>
    </row>
    <row r="81" customFormat="false" ht="23.85" hidden="false" customHeight="false" outlineLevel="0" collapsed="false">
      <c r="A81" s="4" t="s">
        <v>390</v>
      </c>
      <c r="B81" s="5" t="s">
        <v>380</v>
      </c>
      <c r="C81" s="5" t="s">
        <v>391</v>
      </c>
      <c r="D81" s="5" t="s">
        <v>14</v>
      </c>
      <c r="E81" s="5" t="s">
        <v>382</v>
      </c>
      <c r="F81" s="5" t="s">
        <v>392</v>
      </c>
      <c r="G81" s="6" t="s">
        <v>17</v>
      </c>
      <c r="H81" s="5" t="s">
        <v>393</v>
      </c>
      <c r="I81" s="5" t="s">
        <v>394</v>
      </c>
    </row>
    <row r="82" customFormat="false" ht="15" hidden="false" customHeight="false" outlineLevel="0" collapsed="false">
      <c r="A82" s="4" t="s">
        <v>395</v>
      </c>
      <c r="B82" s="5" t="s">
        <v>380</v>
      </c>
      <c r="C82" s="5" t="s">
        <v>396</v>
      </c>
      <c r="D82" s="5" t="s">
        <v>14</v>
      </c>
      <c r="E82" s="5" t="s">
        <v>382</v>
      </c>
      <c r="F82" s="5" t="s">
        <v>397</v>
      </c>
      <c r="G82" s="7" t="s">
        <v>24</v>
      </c>
      <c r="H82" s="5" t="s">
        <v>398</v>
      </c>
      <c r="I82" s="5" t="s">
        <v>32</v>
      </c>
    </row>
    <row r="83" customFormat="false" ht="23.85" hidden="false" customHeight="false" outlineLevel="0" collapsed="false">
      <c r="A83" s="4" t="s">
        <v>399</v>
      </c>
      <c r="B83" s="5" t="s">
        <v>400</v>
      </c>
      <c r="C83" s="5" t="s">
        <v>401</v>
      </c>
      <c r="D83" s="5" t="s">
        <v>14</v>
      </c>
      <c r="E83" s="5" t="s">
        <v>402</v>
      </c>
      <c r="F83" s="5" t="s">
        <v>403</v>
      </c>
      <c r="G83" s="8" t="s">
        <v>404</v>
      </c>
      <c r="H83" s="5" t="s">
        <v>405</v>
      </c>
      <c r="I83" s="5" t="s">
        <v>406</v>
      </c>
    </row>
    <row r="84" customFormat="false" ht="23.85" hidden="false" customHeight="false" outlineLevel="0" collapsed="false">
      <c r="A84" s="4" t="s">
        <v>407</v>
      </c>
      <c r="B84" s="5" t="s">
        <v>400</v>
      </c>
      <c r="C84" s="5" t="s">
        <v>408</v>
      </c>
      <c r="D84" s="5" t="s">
        <v>14</v>
      </c>
      <c r="E84" s="5" t="s">
        <v>402</v>
      </c>
      <c r="F84" s="5" t="s">
        <v>409</v>
      </c>
      <c r="G84" s="7" t="s">
        <v>24</v>
      </c>
      <c r="H84" s="5" t="s">
        <v>410</v>
      </c>
      <c r="I84" s="5" t="s">
        <v>411</v>
      </c>
    </row>
    <row r="85" customFormat="false" ht="15" hidden="false" customHeight="false" outlineLevel="0" collapsed="false">
      <c r="A85" s="4" t="s">
        <v>412</v>
      </c>
      <c r="B85" s="5" t="s">
        <v>400</v>
      </c>
      <c r="C85" s="5" t="s">
        <v>413</v>
      </c>
      <c r="D85" s="5" t="s">
        <v>14</v>
      </c>
      <c r="E85" s="5" t="s">
        <v>402</v>
      </c>
      <c r="F85" s="5" t="s">
        <v>414</v>
      </c>
      <c r="G85" s="7" t="s">
        <v>24</v>
      </c>
      <c r="H85" s="5" t="s">
        <v>410</v>
      </c>
      <c r="I85" s="5" t="s">
        <v>411</v>
      </c>
    </row>
    <row r="86" customFormat="false" ht="23.85" hidden="false" customHeight="false" outlineLevel="0" collapsed="false">
      <c r="A86" s="4" t="s">
        <v>415</v>
      </c>
      <c r="B86" s="5" t="s">
        <v>400</v>
      </c>
      <c r="C86" s="5" t="s">
        <v>416</v>
      </c>
      <c r="D86" s="5" t="s">
        <v>14</v>
      </c>
      <c r="E86" s="5" t="s">
        <v>402</v>
      </c>
      <c r="F86" s="5" t="s">
        <v>417</v>
      </c>
      <c r="G86" s="8" t="s">
        <v>404</v>
      </c>
      <c r="H86" s="5" t="s">
        <v>418</v>
      </c>
      <c r="I86" s="5" t="s">
        <v>419</v>
      </c>
    </row>
    <row r="87" customFormat="false" ht="23.85" hidden="false" customHeight="false" outlineLevel="0" collapsed="false">
      <c r="A87" s="4" t="s">
        <v>420</v>
      </c>
      <c r="B87" s="5" t="s">
        <v>421</v>
      </c>
      <c r="C87" s="5" t="s">
        <v>422</v>
      </c>
      <c r="D87" s="5" t="s">
        <v>14</v>
      </c>
      <c r="E87" s="5" t="s">
        <v>423</v>
      </c>
      <c r="F87" s="5" t="s">
        <v>424</v>
      </c>
      <c r="G87" s="6" t="s">
        <v>17</v>
      </c>
      <c r="H87" s="5" t="s">
        <v>425</v>
      </c>
      <c r="I87" s="5" t="s">
        <v>426</v>
      </c>
    </row>
    <row r="88" customFormat="false" ht="23.85" hidden="false" customHeight="false" outlineLevel="0" collapsed="false">
      <c r="A88" s="4" t="s">
        <v>427</v>
      </c>
      <c r="B88" s="5" t="s">
        <v>421</v>
      </c>
      <c r="C88" s="5" t="s">
        <v>428</v>
      </c>
      <c r="D88" s="5" t="s">
        <v>14</v>
      </c>
      <c r="E88" s="5" t="s">
        <v>423</v>
      </c>
      <c r="F88" s="5" t="s">
        <v>429</v>
      </c>
      <c r="G88" s="7" t="s">
        <v>24</v>
      </c>
      <c r="H88" s="5" t="s">
        <v>430</v>
      </c>
      <c r="I88" s="5" t="s">
        <v>431</v>
      </c>
    </row>
    <row r="89" customFormat="false" ht="23.85" hidden="false" customHeight="false" outlineLevel="0" collapsed="false">
      <c r="A89" s="4" t="s">
        <v>432</v>
      </c>
      <c r="B89" s="5" t="s">
        <v>421</v>
      </c>
      <c r="C89" s="5" t="s">
        <v>433</v>
      </c>
      <c r="D89" s="5" t="s">
        <v>14</v>
      </c>
      <c r="E89" s="5" t="s">
        <v>434</v>
      </c>
      <c r="F89" s="5" t="s">
        <v>435</v>
      </c>
      <c r="G89" s="7" t="s">
        <v>24</v>
      </c>
      <c r="H89" s="5" t="s">
        <v>436</v>
      </c>
      <c r="I89" s="5" t="s">
        <v>437</v>
      </c>
    </row>
    <row r="90" customFormat="false" ht="57.45" hidden="false" customHeight="false" outlineLevel="0" collapsed="false">
      <c r="A90" s="4" t="s">
        <v>438</v>
      </c>
      <c r="B90" s="5" t="s">
        <v>439</v>
      </c>
      <c r="C90" s="5" t="s">
        <v>440</v>
      </c>
      <c r="D90" s="5" t="s">
        <v>269</v>
      </c>
      <c r="E90" s="5" t="s">
        <v>441</v>
      </c>
      <c r="F90" s="5" t="s">
        <v>442</v>
      </c>
      <c r="G90" s="7" t="s">
        <v>24</v>
      </c>
      <c r="H90" s="5" t="s">
        <v>443</v>
      </c>
      <c r="I90" s="5" t="s">
        <v>312</v>
      </c>
    </row>
    <row r="91" customFormat="false" ht="57.45" hidden="false" customHeight="false" outlineLevel="0" collapsed="false">
      <c r="A91" s="4" t="s">
        <v>444</v>
      </c>
      <c r="B91" s="5" t="s">
        <v>439</v>
      </c>
      <c r="C91" s="5" t="s">
        <v>445</v>
      </c>
      <c r="D91" s="5" t="s">
        <v>269</v>
      </c>
      <c r="E91" s="5" t="s">
        <v>446</v>
      </c>
      <c r="F91" s="5" t="s">
        <v>447</v>
      </c>
      <c r="G91" s="7" t="s">
        <v>24</v>
      </c>
      <c r="H91" s="5" t="s">
        <v>448</v>
      </c>
      <c r="I91" s="5" t="s">
        <v>449</v>
      </c>
    </row>
    <row r="92" customFormat="false" ht="23.85" hidden="false" customHeight="false" outlineLevel="0" collapsed="false">
      <c r="A92" s="4" t="s">
        <v>450</v>
      </c>
      <c r="B92" s="5" t="s">
        <v>439</v>
      </c>
      <c r="C92" s="5" t="s">
        <v>451</v>
      </c>
      <c r="D92" s="5" t="s">
        <v>269</v>
      </c>
      <c r="E92" s="5" t="s">
        <v>452</v>
      </c>
      <c r="F92" s="5" t="s">
        <v>453</v>
      </c>
      <c r="G92" s="7" t="s">
        <v>24</v>
      </c>
      <c r="H92" s="5" t="s">
        <v>454</v>
      </c>
      <c r="I92" s="5" t="s">
        <v>455</v>
      </c>
    </row>
    <row r="93" customFormat="false" ht="57.45" hidden="false" customHeight="false" outlineLevel="0" collapsed="false">
      <c r="A93" s="4" t="s">
        <v>456</v>
      </c>
      <c r="B93" s="5" t="s">
        <v>439</v>
      </c>
      <c r="C93" s="5" t="s">
        <v>457</v>
      </c>
      <c r="D93" s="5" t="s">
        <v>269</v>
      </c>
      <c r="E93" s="5" t="s">
        <v>458</v>
      </c>
      <c r="F93" s="5" t="s">
        <v>459</v>
      </c>
      <c r="G93" s="7" t="s">
        <v>24</v>
      </c>
      <c r="H93" s="5" t="s">
        <v>460</v>
      </c>
      <c r="I93" s="5" t="s">
        <v>461</v>
      </c>
    </row>
    <row r="94" customFormat="false" ht="23.85" hidden="false" customHeight="false" outlineLevel="0" collapsed="false">
      <c r="A94" s="4" t="s">
        <v>462</v>
      </c>
      <c r="B94" s="5" t="s">
        <v>439</v>
      </c>
      <c r="C94" s="5" t="s">
        <v>463</v>
      </c>
      <c r="D94" s="5" t="s">
        <v>269</v>
      </c>
      <c r="E94" s="5" t="s">
        <v>458</v>
      </c>
      <c r="F94" s="5" t="s">
        <v>464</v>
      </c>
      <c r="G94" s="7" t="s">
        <v>24</v>
      </c>
      <c r="H94" s="5" t="s">
        <v>465</v>
      </c>
      <c r="I94" s="5" t="s">
        <v>278</v>
      </c>
    </row>
    <row r="95" customFormat="false" ht="23.85" hidden="false" customHeight="false" outlineLevel="0" collapsed="false">
      <c r="A95" s="4" t="s">
        <v>466</v>
      </c>
      <c r="B95" s="5" t="s">
        <v>439</v>
      </c>
      <c r="C95" s="5" t="s">
        <v>467</v>
      </c>
      <c r="D95" s="5" t="s">
        <v>269</v>
      </c>
      <c r="E95" s="5" t="s">
        <v>468</v>
      </c>
      <c r="F95" s="5" t="s">
        <v>469</v>
      </c>
      <c r="G95" s="7" t="s">
        <v>24</v>
      </c>
      <c r="H95" s="5" t="s">
        <v>470</v>
      </c>
      <c r="I95" s="5" t="s">
        <v>431</v>
      </c>
    </row>
  </sheetData>
  <autoFilter ref="A4:I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471</v>
      </c>
    </row>
    <row r="2" customFormat="false" ht="15" hidden="false" customHeight="false" outlineLevel="0" collapsed="false">
      <c r="A2" s="2" t="s">
        <v>472</v>
      </c>
    </row>
    <row r="4" customFormat="false" ht="26.85" hidden="false" customHeight="false" outlineLevel="0" collapsed="false">
      <c r="A4" s="3" t="s">
        <v>3</v>
      </c>
      <c r="B4" s="3" t="s">
        <v>473</v>
      </c>
      <c r="C4" s="3" t="s">
        <v>24</v>
      </c>
      <c r="D4" s="3" t="s">
        <v>17</v>
      </c>
      <c r="E4" s="3" t="s">
        <v>404</v>
      </c>
      <c r="F4" s="3" t="s">
        <v>474</v>
      </c>
    </row>
    <row r="5" customFormat="false" ht="15" hidden="false" customHeight="false" outlineLevel="0" collapsed="false">
      <c r="A5" s="9" t="s">
        <v>12</v>
      </c>
      <c r="B5" s="9" t="n">
        <f aca="false">COUNTIF(Requirements!$B$5:$B$95,A5)</f>
        <v>5</v>
      </c>
      <c r="C5" s="9" t="n">
        <f aca="false">COUNTIFS(Requirements!$B$5:$B$95,$A5,Requirements!$G$5:$G$95,"Auto")</f>
        <v>4</v>
      </c>
      <c r="D5" s="9" t="n">
        <f aca="false">COUNTIFS(Requirements!$B$5:$B$95,$A5,Requirements!$G$5:$G$95,"Auto + manual")</f>
        <v>1</v>
      </c>
      <c r="E5" s="9" t="n">
        <f aca="false">COUNTIFS(Requirements!$B$5:$B$95,$A5,Requirements!$G$5:$G$95,"Partial (manual)")</f>
        <v>0</v>
      </c>
      <c r="F5" s="10" t="n">
        <f aca="false">IF(B5=0,0,C5/B5)</f>
        <v>0.8</v>
      </c>
    </row>
    <row r="6" customFormat="false" ht="15" hidden="false" customHeight="false" outlineLevel="0" collapsed="false">
      <c r="A6" s="9" t="s">
        <v>44</v>
      </c>
      <c r="B6" s="9" t="n">
        <f aca="false">COUNTIF(Requirements!$B$5:$B$95,A6)</f>
        <v>8</v>
      </c>
      <c r="C6" s="9" t="n">
        <f aca="false">COUNTIFS(Requirements!$B$5:$B$95,$A6,Requirements!$G$5:$G$95,"Auto")</f>
        <v>8</v>
      </c>
      <c r="D6" s="9" t="n">
        <f aca="false">COUNTIFS(Requirements!$B$5:$B$95,$A6,Requirements!$G$5:$G$95,"Auto + manual")</f>
        <v>0</v>
      </c>
      <c r="E6" s="9" t="n">
        <f aca="false">COUNTIFS(Requirements!$B$5:$B$95,$A6,Requirements!$G$5:$G$95,"Partial (manual)")</f>
        <v>0</v>
      </c>
      <c r="F6" s="10" t="n">
        <f aca="false">IF(B6=0,0,C6/B6)</f>
        <v>1</v>
      </c>
    </row>
    <row r="7" customFormat="false" ht="15" hidden="false" customHeight="false" outlineLevel="0" collapsed="false">
      <c r="A7" s="9" t="s">
        <v>80</v>
      </c>
      <c r="B7" s="9" t="n">
        <f aca="false">COUNTIF(Requirements!$B$5:$B$95,A7)</f>
        <v>14</v>
      </c>
      <c r="C7" s="9" t="n">
        <f aca="false">COUNTIFS(Requirements!$B$5:$B$95,$A7,Requirements!$G$5:$G$95,"Auto")</f>
        <v>14</v>
      </c>
      <c r="D7" s="9" t="n">
        <f aca="false">COUNTIFS(Requirements!$B$5:$B$95,$A7,Requirements!$G$5:$G$95,"Auto + manual")</f>
        <v>0</v>
      </c>
      <c r="E7" s="9" t="n">
        <f aca="false">COUNTIFS(Requirements!$B$5:$B$95,$A7,Requirements!$G$5:$G$95,"Partial (manual)")</f>
        <v>0</v>
      </c>
      <c r="F7" s="10" t="n">
        <f aca="false">IF(B7=0,0,C7/B7)</f>
        <v>1</v>
      </c>
    </row>
    <row r="8" customFormat="false" ht="15" hidden="false" customHeight="false" outlineLevel="0" collapsed="false">
      <c r="A8" s="9" t="s">
        <v>145</v>
      </c>
      <c r="B8" s="9" t="n">
        <f aca="false">COUNTIF(Requirements!$B$5:$B$95,A8)</f>
        <v>5</v>
      </c>
      <c r="C8" s="9" t="n">
        <f aca="false">COUNTIFS(Requirements!$B$5:$B$95,$A8,Requirements!$G$5:$G$95,"Auto")</f>
        <v>5</v>
      </c>
      <c r="D8" s="9" t="n">
        <f aca="false">COUNTIFS(Requirements!$B$5:$B$95,$A8,Requirements!$G$5:$G$95,"Auto + manual")</f>
        <v>0</v>
      </c>
      <c r="E8" s="9" t="n">
        <f aca="false">COUNTIFS(Requirements!$B$5:$B$95,$A8,Requirements!$G$5:$G$95,"Partial (manual)")</f>
        <v>0</v>
      </c>
      <c r="F8" s="10" t="n">
        <f aca="false">IF(B8=0,0,C8/B8)</f>
        <v>1</v>
      </c>
    </row>
    <row r="9" customFormat="false" ht="15" hidden="false" customHeight="false" outlineLevel="0" collapsed="false">
      <c r="A9" s="9" t="s">
        <v>169</v>
      </c>
      <c r="B9" s="9" t="n">
        <f aca="false">COUNTIF(Requirements!$B$5:$B$95,A9)</f>
        <v>6</v>
      </c>
      <c r="C9" s="9" t="n">
        <f aca="false">COUNTIFS(Requirements!$B$5:$B$95,$A9,Requirements!$G$5:$G$95,"Auto")</f>
        <v>6</v>
      </c>
      <c r="D9" s="9" t="n">
        <f aca="false">COUNTIFS(Requirements!$B$5:$B$95,$A9,Requirements!$G$5:$G$95,"Auto + manual")</f>
        <v>0</v>
      </c>
      <c r="E9" s="9" t="n">
        <f aca="false">COUNTIFS(Requirements!$B$5:$B$95,$A9,Requirements!$G$5:$G$95,"Partial (manual)")</f>
        <v>0</v>
      </c>
      <c r="F9" s="10" t="n">
        <f aca="false">IF(B9=0,0,C9/B9)</f>
        <v>1</v>
      </c>
    </row>
    <row r="10" customFormat="false" ht="15" hidden="false" customHeight="false" outlineLevel="0" collapsed="false">
      <c r="A10" s="9" t="s">
        <v>197</v>
      </c>
      <c r="B10" s="9" t="n">
        <f aca="false">COUNTIF(Requirements!$B$5:$B$95,A10)</f>
        <v>10</v>
      </c>
      <c r="C10" s="9" t="n">
        <f aca="false">COUNTIFS(Requirements!$B$5:$B$95,$A10,Requirements!$G$5:$G$95,"Auto")</f>
        <v>10</v>
      </c>
      <c r="D10" s="9" t="n">
        <f aca="false">COUNTIFS(Requirements!$B$5:$B$95,$A10,Requirements!$G$5:$G$95,"Auto + manual")</f>
        <v>0</v>
      </c>
      <c r="E10" s="9" t="n">
        <f aca="false">COUNTIFS(Requirements!$B$5:$B$95,$A10,Requirements!$G$5:$G$95,"Partial (manual)")</f>
        <v>0</v>
      </c>
      <c r="F10" s="10" t="n">
        <f aca="false">IF(B10=0,0,C10/B10)</f>
        <v>1</v>
      </c>
    </row>
    <row r="11" customFormat="false" ht="15" hidden="false" customHeight="false" outlineLevel="0" collapsed="false">
      <c r="A11" s="9" t="s">
        <v>250</v>
      </c>
      <c r="B11" s="9" t="n">
        <f aca="false">COUNTIF(Requirements!$B$5:$B$95,A11)</f>
        <v>7</v>
      </c>
      <c r="C11" s="9" t="n">
        <f aca="false">COUNTIFS(Requirements!$B$5:$B$95,$A11,Requirements!$G$5:$G$95,"Auto")</f>
        <v>7</v>
      </c>
      <c r="D11" s="9" t="n">
        <f aca="false">COUNTIFS(Requirements!$B$5:$B$95,$A11,Requirements!$G$5:$G$95,"Auto + manual")</f>
        <v>0</v>
      </c>
      <c r="E11" s="9" t="n">
        <f aca="false">COUNTIFS(Requirements!$B$5:$B$95,$A11,Requirements!$G$5:$G$95,"Partial (manual)")</f>
        <v>0</v>
      </c>
      <c r="F11" s="10" t="n">
        <f aca="false">IF(B11=0,0,C11/B11)</f>
        <v>1</v>
      </c>
    </row>
    <row r="12" customFormat="false" ht="15" hidden="false" customHeight="false" outlineLevel="0" collapsed="false">
      <c r="A12" s="9" t="s">
        <v>284</v>
      </c>
      <c r="B12" s="9" t="n">
        <f aca="false">COUNTIF(Requirements!$B$5:$B$95,A12)</f>
        <v>4</v>
      </c>
      <c r="C12" s="9" t="n">
        <f aca="false">COUNTIFS(Requirements!$B$5:$B$95,$A12,Requirements!$G$5:$G$95,"Auto")</f>
        <v>4</v>
      </c>
      <c r="D12" s="9" t="n">
        <f aca="false">COUNTIFS(Requirements!$B$5:$B$95,$A12,Requirements!$G$5:$G$95,"Auto + manual")</f>
        <v>0</v>
      </c>
      <c r="E12" s="9" t="n">
        <f aca="false">COUNTIFS(Requirements!$B$5:$B$95,$A12,Requirements!$G$5:$G$95,"Partial (manual)")</f>
        <v>0</v>
      </c>
      <c r="F12" s="10" t="n">
        <f aca="false">IF(B12=0,0,C12/B12)</f>
        <v>1</v>
      </c>
    </row>
    <row r="13" customFormat="false" ht="15" hidden="false" customHeight="false" outlineLevel="0" collapsed="false">
      <c r="A13" s="9" t="s">
        <v>302</v>
      </c>
      <c r="B13" s="9" t="n">
        <f aca="false">COUNTIF(Requirements!$B$5:$B$95,A13)</f>
        <v>4</v>
      </c>
      <c r="C13" s="9" t="n">
        <f aca="false">COUNTIFS(Requirements!$B$5:$B$95,$A13,Requirements!$G$5:$G$95,"Auto")</f>
        <v>4</v>
      </c>
      <c r="D13" s="9" t="n">
        <f aca="false">COUNTIFS(Requirements!$B$5:$B$95,$A13,Requirements!$G$5:$G$95,"Auto + manual")</f>
        <v>0</v>
      </c>
      <c r="E13" s="9" t="n">
        <f aca="false">COUNTIFS(Requirements!$B$5:$B$95,$A13,Requirements!$G$5:$G$95,"Partial (manual)")</f>
        <v>0</v>
      </c>
      <c r="F13" s="10" t="n">
        <f aca="false">IF(B13=0,0,C13/B13)</f>
        <v>1</v>
      </c>
    </row>
    <row r="14" customFormat="false" ht="15" hidden="false" customHeight="false" outlineLevel="0" collapsed="false">
      <c r="A14" s="9" t="s">
        <v>322</v>
      </c>
      <c r="B14" s="9" t="n">
        <f aca="false">COUNTIF(Requirements!$B$5:$B$95,A14)</f>
        <v>3</v>
      </c>
      <c r="C14" s="9" t="n">
        <f aca="false">COUNTIFS(Requirements!$B$5:$B$95,$A14,Requirements!$G$5:$G$95,"Auto")</f>
        <v>1</v>
      </c>
      <c r="D14" s="9" t="n">
        <f aca="false">COUNTIFS(Requirements!$B$5:$B$95,$A14,Requirements!$G$5:$G$95,"Auto + manual")</f>
        <v>2</v>
      </c>
      <c r="E14" s="9" t="n">
        <f aca="false">COUNTIFS(Requirements!$B$5:$B$95,$A14,Requirements!$G$5:$G$95,"Partial (manual)")</f>
        <v>0</v>
      </c>
      <c r="F14" s="10" t="n">
        <f aca="false">IF(B14=0,0,C14/B14)</f>
        <v>0.333333333333333</v>
      </c>
    </row>
    <row r="15" customFormat="false" ht="15" hidden="false" customHeight="false" outlineLevel="0" collapsed="false">
      <c r="A15" s="9" t="s">
        <v>339</v>
      </c>
      <c r="B15" s="9" t="n">
        <f aca="false">COUNTIF(Requirements!$B$5:$B$95,A15)</f>
        <v>8</v>
      </c>
      <c r="C15" s="9" t="n">
        <f aca="false">COUNTIFS(Requirements!$B$5:$B$95,$A15,Requirements!$G$5:$G$95,"Auto")</f>
        <v>4</v>
      </c>
      <c r="D15" s="9" t="n">
        <f aca="false">COUNTIFS(Requirements!$B$5:$B$95,$A15,Requirements!$G$5:$G$95,"Auto + manual")</f>
        <v>4</v>
      </c>
      <c r="E15" s="9" t="n">
        <f aca="false">COUNTIFS(Requirements!$B$5:$B$95,$A15,Requirements!$G$5:$G$95,"Partial (manual)")</f>
        <v>0</v>
      </c>
      <c r="F15" s="10" t="n">
        <f aca="false">IF(B15=0,0,C15/B15)</f>
        <v>0.5</v>
      </c>
    </row>
    <row r="16" customFormat="false" ht="15" hidden="false" customHeight="false" outlineLevel="0" collapsed="false">
      <c r="A16" s="9" t="s">
        <v>380</v>
      </c>
      <c r="B16" s="9" t="n">
        <f aca="false">COUNTIF(Requirements!$B$5:$B$95,A16)</f>
        <v>4</v>
      </c>
      <c r="C16" s="9" t="n">
        <f aca="false">COUNTIFS(Requirements!$B$5:$B$95,$A16,Requirements!$G$5:$G$95,"Auto")</f>
        <v>2</v>
      </c>
      <c r="D16" s="9" t="n">
        <f aca="false">COUNTIFS(Requirements!$B$5:$B$95,$A16,Requirements!$G$5:$G$95,"Auto + manual")</f>
        <v>2</v>
      </c>
      <c r="E16" s="9" t="n">
        <f aca="false">COUNTIFS(Requirements!$B$5:$B$95,$A16,Requirements!$G$5:$G$95,"Partial (manual)")</f>
        <v>0</v>
      </c>
      <c r="F16" s="10" t="n">
        <f aca="false">IF(B16=0,0,C16/B16)</f>
        <v>0.5</v>
      </c>
    </row>
    <row r="17" customFormat="false" ht="15" hidden="false" customHeight="false" outlineLevel="0" collapsed="false">
      <c r="A17" s="9" t="s">
        <v>400</v>
      </c>
      <c r="B17" s="9" t="n">
        <f aca="false">COUNTIF(Requirements!$B$5:$B$95,A17)</f>
        <v>4</v>
      </c>
      <c r="C17" s="9" t="n">
        <f aca="false">COUNTIFS(Requirements!$B$5:$B$95,$A17,Requirements!$G$5:$G$95,"Auto")</f>
        <v>2</v>
      </c>
      <c r="D17" s="9" t="n">
        <f aca="false">COUNTIFS(Requirements!$B$5:$B$95,$A17,Requirements!$G$5:$G$95,"Auto + manual")</f>
        <v>0</v>
      </c>
      <c r="E17" s="9" t="n">
        <f aca="false">COUNTIFS(Requirements!$B$5:$B$95,$A17,Requirements!$G$5:$G$95,"Partial (manual)")</f>
        <v>2</v>
      </c>
      <c r="F17" s="10" t="n">
        <f aca="false">IF(B17=0,0,C17/B17)</f>
        <v>0.5</v>
      </c>
    </row>
    <row r="18" customFormat="false" ht="15" hidden="false" customHeight="false" outlineLevel="0" collapsed="false">
      <c r="A18" s="9" t="s">
        <v>421</v>
      </c>
      <c r="B18" s="9" t="n">
        <f aca="false">COUNTIF(Requirements!$B$5:$B$95,A18)</f>
        <v>3</v>
      </c>
      <c r="C18" s="9" t="n">
        <f aca="false">COUNTIFS(Requirements!$B$5:$B$95,$A18,Requirements!$G$5:$G$95,"Auto")</f>
        <v>2</v>
      </c>
      <c r="D18" s="9" t="n">
        <f aca="false">COUNTIFS(Requirements!$B$5:$B$95,$A18,Requirements!$G$5:$G$95,"Auto + manual")</f>
        <v>1</v>
      </c>
      <c r="E18" s="9" t="n">
        <f aca="false">COUNTIFS(Requirements!$B$5:$B$95,$A18,Requirements!$G$5:$G$95,"Partial (manual)")</f>
        <v>0</v>
      </c>
      <c r="F18" s="10" t="n">
        <f aca="false">IF(B18=0,0,C18/B18)</f>
        <v>0.666666666666667</v>
      </c>
    </row>
    <row r="19" customFormat="false" ht="15" hidden="false" customHeight="false" outlineLevel="0" collapsed="false">
      <c r="A19" s="9" t="s">
        <v>439</v>
      </c>
      <c r="B19" s="9" t="n">
        <f aca="false">COUNTIF(Requirements!$B$5:$B$95,A19)</f>
        <v>6</v>
      </c>
      <c r="C19" s="9" t="n">
        <f aca="false">COUNTIFS(Requirements!$B$5:$B$95,$A19,Requirements!$G$5:$G$95,"Auto")</f>
        <v>6</v>
      </c>
      <c r="D19" s="9" t="n">
        <f aca="false">COUNTIFS(Requirements!$B$5:$B$95,$A19,Requirements!$G$5:$G$95,"Auto + manual")</f>
        <v>0</v>
      </c>
      <c r="E19" s="9" t="n">
        <f aca="false">COUNTIFS(Requirements!$B$5:$B$95,$A19,Requirements!$G$5:$G$95,"Partial (manual)")</f>
        <v>0</v>
      </c>
      <c r="F19" s="10" t="n">
        <f aca="false">IF(B19=0,0,C19/B19)</f>
        <v>1</v>
      </c>
    </row>
    <row r="20" customFormat="false" ht="15" hidden="false" customHeight="false" outlineLevel="0" collapsed="false">
      <c r="A20" s="11" t="s">
        <v>475</v>
      </c>
      <c r="B20" s="11" t="n">
        <f aca="false">SUM(B5:B19)</f>
        <v>91</v>
      </c>
      <c r="C20" s="11" t="n">
        <f aca="false">SUM(C5:C19)</f>
        <v>79</v>
      </c>
      <c r="D20" s="11" t="n">
        <f aca="false">SUM(D5:D19)</f>
        <v>10</v>
      </c>
      <c r="E20" s="11" t="n">
        <f aca="false">SUM(E5:E19)</f>
        <v>2</v>
      </c>
      <c r="F20" s="12" t="n">
        <f aca="false">IF(B20=0,0,C20/B20)</f>
        <v>0.868131868131868</v>
      </c>
    </row>
    <row r="21" customFormat="false" ht="15" hidden="false" customHeight="false" outlineLevel="0" collapsed="false">
      <c r="A21" s="11" t="s">
        <v>476</v>
      </c>
      <c r="B21" s="11"/>
      <c r="C21" s="11"/>
      <c r="D21" s="11"/>
      <c r="E21" s="11"/>
      <c r="F21" s="12" t="n">
        <f aca="false">IF(B20=0,0,(C20+D20)/B20)</f>
        <v>0.978021978021978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3" t="s">
        <v>8</v>
      </c>
      <c r="B1" s="14"/>
    </row>
    <row r="2" customFormat="false" ht="15" hidden="false" customHeight="false" outlineLevel="0" collapsed="false">
      <c r="A2" s="15" t="s">
        <v>24</v>
      </c>
      <c r="B2" s="14" t="s">
        <v>477</v>
      </c>
    </row>
    <row r="3" customFormat="false" ht="15" hidden="false" customHeight="false" outlineLevel="0" collapsed="false">
      <c r="A3" s="16" t="s">
        <v>17</v>
      </c>
      <c r="B3" s="14" t="s">
        <v>478</v>
      </c>
    </row>
    <row r="4" customFormat="false" ht="15" hidden="false" customHeight="false" outlineLevel="0" collapsed="false">
      <c r="A4" s="17" t="s">
        <v>404</v>
      </c>
      <c r="B4" s="14" t="s">
        <v>479</v>
      </c>
    </row>
    <row r="5" customFormat="false" ht="15" hidden="false" customHeight="false" outlineLevel="0" collapsed="false">
      <c r="A5" s="13"/>
      <c r="B5" s="14"/>
    </row>
    <row r="6" customFormat="false" ht="15" hidden="false" customHeight="false" outlineLevel="0" collapsed="false">
      <c r="A6" s="13" t="s">
        <v>480</v>
      </c>
      <c r="B6" s="14"/>
    </row>
    <row r="7" customFormat="false" ht="15" hidden="false" customHeight="false" outlineLevel="0" collapsed="false">
      <c r="A7" s="18" t="s">
        <v>481</v>
      </c>
      <c r="B7" s="14" t="s">
        <v>482</v>
      </c>
    </row>
    <row r="8" customFormat="false" ht="15" hidden="false" customHeight="false" outlineLevel="0" collapsed="false">
      <c r="A8" s="18" t="s">
        <v>483</v>
      </c>
      <c r="B8" s="14" t="s">
        <v>484</v>
      </c>
    </row>
    <row r="9" customFormat="false" ht="15" hidden="false" customHeight="false" outlineLevel="0" collapsed="false">
      <c r="A9" s="18" t="s">
        <v>485</v>
      </c>
      <c r="B9" s="14" t="s">
        <v>486</v>
      </c>
    </row>
    <row r="10" customFormat="false" ht="15" hidden="false" customHeight="false" outlineLevel="0" collapsed="false">
      <c r="A10" s="18" t="s">
        <v>487</v>
      </c>
      <c r="B10" s="14" t="s">
        <v>488</v>
      </c>
    </row>
    <row r="11" customFormat="false" ht="15" hidden="false" customHeight="false" outlineLevel="0" collapsed="false">
      <c r="A11" s="18" t="s">
        <v>489</v>
      </c>
      <c r="B11" s="14" t="s">
        <v>490</v>
      </c>
    </row>
    <row r="12" customFormat="false" ht="15" hidden="false" customHeight="false" outlineLevel="0" collapsed="false">
      <c r="A12" s="18" t="s">
        <v>491</v>
      </c>
      <c r="B12" s="14" t="s">
        <v>492</v>
      </c>
    </row>
    <row r="13" customFormat="false" ht="15" hidden="false" customHeight="false" outlineLevel="0" collapsed="false">
      <c r="A13" s="18" t="s">
        <v>6</v>
      </c>
      <c r="B13" s="14" t="s">
        <v>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2026-10-20T10:12:10Z</dcterms:created>
  <dc:creator>openpyxl</dc:creator>
  <dc:description/>
  <dc:language>en-US</dc:language>
  <cp:lastModifiedBy/>
  <dcterms:modified xsi:type="dcterms:W3CDTF">2026-10-20T10:12:10Z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